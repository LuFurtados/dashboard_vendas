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b4a9489474cfa2/Documentos/Treinamento_Python/Santander/Desafio04/"/>
    </mc:Choice>
  </mc:AlternateContent>
  <xr:revisionPtr revIDLastSave="12" documentId="8_{A0EE6160-26B1-4AFB-B2BF-5795BA04EC8F}" xr6:coauthVersionLast="47" xr6:coauthVersionMax="47" xr10:uidLastSave="{93E15E32-C49F-41C1-902C-2F083FB90B5B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3" l="1"/>
  <c r="E43" i="3"/>
</calcChain>
</file>

<file path=xl/sharedStrings.xml><?xml version="1.0" encoding="utf-8"?>
<sst xmlns="http://schemas.openxmlformats.org/spreadsheetml/2006/main" count="2039" uniqueCount="337">
  <si>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</si>
  <si>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</si>
  <si>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</si>
  <si>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</si>
  <si>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</si>
  <si>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</si>
  <si>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</si>
  <si>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</si>
  <si>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</si>
  <si>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</si>
  <si>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</si>
  <si>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</si>
  <si>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</si>
  <si>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</si>
  <si>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</si>
  <si>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</si>
  <si>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</si>
  <si>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</si>
  <si>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</si>
  <si>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</si>
  <si>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</si>
  <si>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</si>
  <si>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</si>
  <si>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</si>
  <si>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</si>
  <si>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</si>
  <si>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</si>
  <si>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</si>
  <si>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</si>
  <si>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</si>
  <si>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</si>
  <si>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</si>
  <si>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</si>
  <si>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</si>
  <si>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</si>
  <si>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</si>
  <si>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</si>
  <si>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</si>
  <si>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</si>
  <si>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</si>
  <si>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</si>
  <si>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</si>
  <si>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</si>
  <si>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</si>
  <si>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</si>
  <si>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</si>
  <si>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</si>
  <si>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</si>
  <si>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</si>
  <si>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</si>
  <si>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</si>
  <si>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</si>
  <si>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</si>
  <si>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</si>
  <si>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</si>
  <si>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</si>
  <si>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</si>
  <si>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</si>
  <si>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</si>
  <si>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</si>
  <si>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</si>
  <si>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</si>
  <si>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</si>
  <si>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</si>
  <si>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</si>
  <si>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</si>
  <si>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</si>
  <si>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</si>
  <si>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</si>
  <si>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</si>
  <si>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</si>
  <si>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</si>
  <si>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</si>
  <si>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</si>
  <si>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</si>
  <si>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</si>
  <si>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</si>
  <si>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</si>
  <si>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</si>
  <si>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</si>
  <si>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</si>
  <si>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</si>
  <si>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</si>
  <si>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</si>
  <si>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</si>
  <si>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</si>
  <si>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</si>
  <si>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</si>
  <si>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</si>
  <si>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</si>
  <si>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</si>
  <si>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</si>
  <si>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</si>
  <si>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</si>
  <si>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</si>
  <si>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</si>
  <si>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</si>
  <si>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</si>
  <si>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</si>
  <si>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</si>
  <si>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</si>
  <si>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</si>
  <si>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</si>
  <si>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</si>
  <si>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</si>
  <si>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</si>
  <si>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</si>
  <si>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</si>
  <si>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</si>
  <si>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</si>
  <si>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</si>
  <si>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</si>
  <si>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</si>
  <si>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</si>
  <si>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</si>
  <si>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</si>
  <si>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</si>
  <si>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</si>
  <si>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</si>
  <si>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</si>
  <si>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</si>
  <si>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</si>
  <si>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</si>
  <si>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</si>
  <si>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</si>
  <si>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</si>
  <si>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</si>
  <si>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</si>
  <si>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</si>
  <si>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</si>
  <si>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</si>
  <si>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</si>
  <si>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</si>
  <si>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</si>
  <si>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</si>
  <si>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</si>
  <si>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</si>
  <si>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</si>
  <si>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</si>
  <si>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</si>
  <si>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</si>
  <si>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</si>
  <si>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</si>
  <si>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</si>
  <si>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</si>
  <si>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</si>
  <si>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</si>
  <si>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</si>
  <si>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</si>
  <si>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</si>
  <si>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</si>
  <si>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</si>
  <si>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</si>
  <si>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</si>
  <si>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</si>
  <si>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</si>
  <si>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</si>
  <si>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</si>
  <si>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</si>
  <si>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</si>
  <si>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</si>
  <si>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</si>
  <si>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</si>
  <si>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</si>
  <si>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</si>
  <si>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</si>
  <si>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</si>
  <si>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</si>
  <si>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</si>
  <si>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</si>
  <si>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</si>
  <si>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</si>
  <si>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</si>
  <si>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</si>
  <si>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</si>
  <si>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</si>
  <si>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</si>
  <si>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</si>
  <si>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</si>
  <si>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</si>
  <si>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</si>
  <si>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</si>
  <si>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</si>
  <si>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</si>
  <si>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</si>
  <si>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</si>
  <si>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</si>
  <si>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</si>
  <si>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</si>
  <si>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</si>
  <si>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</si>
  <si>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</si>
  <si>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</si>
  <si>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</si>
  <si>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</si>
  <si>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</si>
  <si>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</si>
  <si>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</si>
  <si>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</si>
  <si>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</si>
  <si>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</si>
  <si>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</si>
  <si>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</si>
  <si>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</si>
  <si>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</si>
  <si>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</si>
  <si>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</si>
  <si>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</si>
  <si>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</si>
  <si>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</si>
  <si>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</si>
  <si>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</si>
  <si>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</si>
  <si>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</si>
  <si>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</si>
  <si>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</si>
  <si>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</si>
  <si>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</si>
  <si>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</si>
  <si>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</si>
  <si>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</si>
  <si>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</si>
  <si>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</si>
  <si>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</si>
  <si>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</si>
  <si>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</si>
  <si>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</si>
  <si>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</si>
  <si>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</si>
  <si>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</si>
  <si>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</si>
  <si>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</si>
  <si>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</si>
  <si>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</si>
  <si>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</si>
  <si>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</si>
  <si>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</si>
  <si>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</si>
  <si>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</si>
  <si>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</si>
  <si>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</si>
  <si>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</si>
  <si>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</si>
  <si>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</si>
  <si>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</si>
  <si>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</si>
  <si>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</si>
  <si>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</si>
  <si>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</si>
  <si>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</si>
  <si>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</si>
  <si>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</si>
  <si>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</si>
  <si>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</si>
  <si>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</si>
  <si>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</si>
  <si>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</si>
  <si>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</si>
  <si>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</si>
  <si>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</si>
  <si>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</si>
  <si>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</si>
  <si>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</si>
  <si>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</si>
  <si>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</si>
  <si>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</si>
  <si>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</si>
  <si>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</si>
  <si>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</si>
  <si>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</si>
  <si>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</si>
  <si>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</si>
  <si>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</si>
  <si>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</si>
  <si>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</si>
  <si>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</si>
  <si>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</si>
  <si>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</si>
  <si>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</si>
  <si>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</si>
  <si>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</si>
  <si>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</si>
  <si>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</si>
  <si>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</si>
  <si>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</si>
  <si>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</si>
  <si>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</si>
  <si>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</si>
  <si>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</si>
  <si>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</si>
  <si>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</si>
  <si>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</si>
  <si>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</si>
  <si>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</si>
  <si>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</si>
  <si>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</si>
  <si>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</si>
  <si>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</si>
  <si>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</si>
  <si>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</si>
  <si>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</si>
  <si>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</si>
  <si>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</si>
  <si>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</si>
  <si>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</si>
  <si>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</si>
  <si>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</si>
  <si>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</si>
  <si>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</si>
  <si>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</si>
  <si>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</si>
  <si>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</si>
  <si>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</si>
  <si>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</si>
  <si>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</si>
  <si>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</si>
  <si>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jan</t>
  </si>
  <si>
    <t>mai</t>
  </si>
  <si>
    <t>jun</t>
  </si>
  <si>
    <t>mar</t>
  </si>
  <si>
    <t>abr</t>
  </si>
  <si>
    <t>jul</t>
  </si>
  <si>
    <t>ago</t>
  </si>
  <si>
    <t>set</t>
  </si>
  <si>
    <t>out</t>
  </si>
  <si>
    <t>nov</t>
  </si>
  <si>
    <t>dez</t>
  </si>
  <si>
    <t>Contagem de Subscriber ID</t>
  </si>
  <si>
    <t xml:space="preserve"> XBOX GAME PASS SUBSCRIPTIONS SALES</t>
  </si>
  <si>
    <t>Soma de EA Play Season Pass</t>
  </si>
  <si>
    <t>Soma de Minecraft Season Pass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</si>
  <si>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>Planos por Tipo de Plano</t>
    </r>
  </si>
  <si>
    <r>
      <t>Pergunta de Negócio 2 - Quanto N</t>
    </r>
    <r>
      <rPr>
        <b/>
        <sz val="11"/>
        <color theme="1"/>
        <rFont val="Aptos Narrow"/>
        <family val="2"/>
        <scheme val="minor"/>
      </rPr>
      <t>ovos Assinantes</t>
    </r>
    <r>
      <rPr>
        <sz val="11"/>
        <color theme="1"/>
        <rFont val="Aptos Narrow"/>
        <family val="2"/>
        <scheme val="minor"/>
      </rPr>
      <t xml:space="preserve"> por mês e qual tipo de plano.</t>
    </r>
  </si>
  <si>
    <r>
      <t xml:space="preserve">Pergunta de Negócio 3 - Qual faturamento com assinatura de </t>
    </r>
    <r>
      <rPr>
        <b/>
        <sz val="11"/>
        <color theme="1"/>
        <rFont val="Aptos Narrow"/>
        <family val="2"/>
        <scheme val="minor"/>
      </rPr>
      <t>EA Play</t>
    </r>
  </si>
  <si>
    <r>
      <t xml:space="preserve">Pergunta de Negócio 4 - Qual faturamento com assinatura de </t>
    </r>
    <r>
      <rPr>
        <b/>
        <sz val="11"/>
        <color theme="1"/>
        <rFont val="Aptos Narrow"/>
        <family val="2"/>
        <scheme val="minor"/>
      </rPr>
      <t>Minecraft</t>
    </r>
  </si>
  <si>
    <t>(Tudo)</t>
  </si>
  <si>
    <t>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</si>
</sst>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4" fillId="0" borderId="2" xfId="1" applyFont="1" applyBorder="1" applyAlignment="1">
      <alignment horizontal="left" indent="7"/>
    </xf>
    <xf numFmtId="0" fontId="5" fillId="0" borderId="2" xfId="1" applyFont="1" applyBorder="1"/>
    <xf numFmtId="0" fontId="0" fillId="0" borderId="2" xfId="0" applyBorder="1"/>
    <xf numFmtId="44" fontId="0" fillId="0" borderId="0" xfId="2" applyFont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A9E63A4A-45C2-49FF-8DEB-1D4C51754480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[Dashboard_SaleXBox.xlsx]C̳álculos!Tabela dinâmica1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5BF6A8"/>
          </a:solidFill>
          <a:ln>
            <a:noFill/>
          </a:ln>
          <a:effectLst/>
          <a:sp3d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5C7F-4F64-A7CF-D8610599CB26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C7F-4F64-A7CF-D8610599CB26}"/>
              </c:ext>
            </c:extLst>
          </c:dPt>
          <c:dPt>
            <c:idx val="2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C7F-4F64-A7CF-D8610599CB26}"/>
              </c:ext>
            </c:extLst>
          </c:dPt>
          <c:cat>
            <c:strRef>
              <c:f>C̳álculos!$B$8:$B$11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C̳álculos!$C$8:$C$11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F-4F64-A7CF-D8610599C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92574623"/>
        <c:axId val="892580863"/>
        <c:axId val="0"/>
      </c:bar3DChart>
      <c:catAx>
        <c:axId val="89257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2580863"/>
        <c:crosses val="autoZero"/>
        <c:auto val="1"/>
        <c:lblAlgn val="ctr"/>
        <c:lblOffset val="100"/>
        <c:noMultiLvlLbl val="0"/>
      </c:catAx>
      <c:valAx>
        <c:axId val="89258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257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[Dashboard_SaleXBox.xlsx]C̳álculos!Tabela dinâmica6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C̳álculos!$B$20:$B$32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C̳álculos!$C$20:$C$32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1-43AD-A4A9-8B8D22444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185599"/>
        <c:axId val="886188959"/>
      </c:barChart>
      <c:catAx>
        <c:axId val="886185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6188959"/>
        <c:crosses val="autoZero"/>
        <c:auto val="1"/>
        <c:lblAlgn val="ctr"/>
        <c:lblOffset val="100"/>
        <c:noMultiLvlLbl val="0"/>
      </c:catAx>
      <c:valAx>
        <c:axId val="88618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618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7.png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47625</xdr:colOff>
      <xdr:row>8</xdr:row>
      <xdr:rowOff>63500</xdr:rowOff>
    </xdr:from>
    <xdr:to>
      <xdr:col>0</xdr:col>
      <xdr:colOff>1352550</xdr:colOff>
      <xdr:row>19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Plan">
              <a:extLst>
                <a:ext uri="{FF2B5EF4-FFF2-40B4-BE49-F238E27FC236}">
                  <a16:creationId xmlns:a16="http://schemas.microsoft.com/office/drawing/2014/main" id="{9467AB14-0737-4DFB-B119-6FD5C63DD5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778000"/>
              <a:ext cx="1304925" cy="1971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161925</xdr:colOff>
      <xdr:row>6</xdr:row>
      <xdr:rowOff>381000</xdr:rowOff>
    </xdr:from>
    <xdr:to>
      <xdr:col>10</xdr:col>
      <xdr:colOff>83825</xdr:colOff>
      <xdr:row>25</xdr:row>
      <xdr:rowOff>1500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2437F6F-11C5-40AC-B0F6-0AB8D02EE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6</xdr:row>
      <xdr:rowOff>381000</xdr:rowOff>
    </xdr:from>
    <xdr:to>
      <xdr:col>18</xdr:col>
      <xdr:colOff>518800</xdr:colOff>
      <xdr:row>25</xdr:row>
      <xdr:rowOff>1500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EA6EF845-FA68-4221-BFA5-779B6671E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139701</xdr:colOff>
      <xdr:row>27</xdr:row>
      <xdr:rowOff>33814</xdr:rowOff>
    </xdr:from>
    <xdr:to>
      <xdr:col>10</xdr:col>
      <xdr:colOff>61601</xdr:colOff>
      <xdr:row>37</xdr:row>
      <xdr:rowOff>55814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05EFEF3-DDAA-457D-A606-D28A6BC6637C}"/>
            </a:ext>
          </a:extLst>
        </xdr:cNvPr>
        <xdr:cNvGrpSpPr/>
      </xdr:nvGrpSpPr>
      <xdr:grpSpPr>
        <a:xfrm>
          <a:off x="1511301" y="5308547"/>
          <a:ext cx="5044233" cy="1884667"/>
          <a:chOff x="2095500" y="1143000"/>
          <a:chExt cx="4655344" cy="1647825"/>
        </a:xfrm>
      </xdr:grpSpPr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155B3911-1A4F-0C86-6D2B-25349625CE7F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43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F1287C2D-7DAC-53D3-93F6-1350125FDB42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45C497A-B700-4CC5-A036-5CD88D13C42D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31" name="Imagem 30">
            <a:extLst>
              <a:ext uri="{FF2B5EF4-FFF2-40B4-BE49-F238E27FC236}">
                <a16:creationId xmlns:a16="http://schemas.microsoft.com/office/drawing/2014/main" id="{66800ED5-4E3B-1EE4-93BB-23FA7A0184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6D687700-1DAF-B1BC-E275-EDEA2D25B04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SUBSCRIPTIONS EA PLAY TOTAL</a:t>
            </a:r>
          </a:p>
        </xdr:txBody>
      </xdr:sp>
    </xdr:grpSp>
    <xdr:clientData/>
  </xdr:twoCellAnchor>
  <xdr:twoCellAnchor>
    <xdr:from>
      <xdr:col>10</xdr:col>
      <xdr:colOff>190500</xdr:colOff>
      <xdr:row>27</xdr:row>
      <xdr:rowOff>25400</xdr:rowOff>
    </xdr:from>
    <xdr:to>
      <xdr:col>18</xdr:col>
      <xdr:colOff>518800</xdr:colOff>
      <xdr:row>36</xdr:row>
      <xdr:rowOff>153200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57DB9C39-70C2-4D73-B2F0-DE455EF6B4F6}"/>
            </a:ext>
          </a:extLst>
        </xdr:cNvPr>
        <xdr:cNvGrpSpPr/>
      </xdr:nvGrpSpPr>
      <xdr:grpSpPr>
        <a:xfrm>
          <a:off x="6684433" y="5300133"/>
          <a:ext cx="5044234" cy="1804200"/>
          <a:chOff x="7534275" y="1247775"/>
          <a:chExt cx="4655344" cy="1571625"/>
        </a:xfrm>
      </xdr:grpSpPr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F19FA7BE-ED25-FF49-4CE2-ED83B444434B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38" name="Retângulo: Cantos Arredondados 37">
              <a:extLst>
                <a:ext uri="{FF2B5EF4-FFF2-40B4-BE49-F238E27FC236}">
                  <a16:creationId xmlns:a16="http://schemas.microsoft.com/office/drawing/2014/main" id="{174E273E-3D01-7A35-0044-576D73962729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 kern="1200"/>
            </a:p>
          </xdr:txBody>
        </xdr:sp>
        <xdr:sp macro="" textlink="C̳álculos!E57">
          <xdr:nvSpPr>
            <xdr:cNvPr id="39" name="Retângulo: Cantos Arredondados 38">
              <a:extLst>
                <a:ext uri="{FF2B5EF4-FFF2-40B4-BE49-F238E27FC236}">
                  <a16:creationId xmlns:a16="http://schemas.microsoft.com/office/drawing/2014/main" id="{6102B3CC-93FB-73C6-F7B3-5957F23D849F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0F4A899-1A3B-4426-8EB3-E9CD59D5C389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40" name="Retângulo: Cantos Superiores Arredondados 39">
              <a:extLst>
                <a:ext uri="{FF2B5EF4-FFF2-40B4-BE49-F238E27FC236}">
                  <a16:creationId xmlns:a16="http://schemas.microsoft.com/office/drawing/2014/main" id="{BD513717-B865-0D98-C4EB-61E9AE442145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</a:p>
          </xdr:txBody>
        </xdr:sp>
      </xdr:grpSp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24B6A654-58AA-E9C0-8707-8FC43F75A5FE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36" name="Imagem 35">
              <a:extLst>
                <a:ext uri="{FF2B5EF4-FFF2-40B4-BE49-F238E27FC236}">
                  <a16:creationId xmlns:a16="http://schemas.microsoft.com/office/drawing/2014/main" id="{4ABA132A-500A-DCBC-73FE-FEDFDD7367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7" name="Gráfico 36">
              <a:extLst>
                <a:ext uri="{FF2B5EF4-FFF2-40B4-BE49-F238E27FC236}">
                  <a16:creationId xmlns:a16="http://schemas.microsoft.com/office/drawing/2014/main" id="{36A2AE75-1A3E-68E1-98BA-3076084E82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203200</xdr:colOff>
      <xdr:row>5</xdr:row>
      <xdr:rowOff>0</xdr:rowOff>
    </xdr:from>
    <xdr:to>
      <xdr:col>18</xdr:col>
      <xdr:colOff>531500</xdr:colOff>
      <xdr:row>6</xdr:row>
      <xdr:rowOff>370454</xdr:rowOff>
    </xdr:to>
    <xdr:sp macro="" textlink="">
      <xdr:nvSpPr>
        <xdr:cNvPr id="41" name="Retângulo: Cantos Superiores Arredondados 40">
          <a:extLst>
            <a:ext uri="{FF2B5EF4-FFF2-40B4-BE49-F238E27FC236}">
              <a16:creationId xmlns:a16="http://schemas.microsoft.com/office/drawing/2014/main" id="{9B1909E6-0E89-4ED0-9AB3-7B52B5BCE538}"/>
            </a:ext>
          </a:extLst>
        </xdr:cNvPr>
        <xdr:cNvSpPr/>
      </xdr:nvSpPr>
      <xdr:spPr>
        <a:xfrm>
          <a:off x="6692900" y="990600"/>
          <a:ext cx="5040000" cy="49745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NUMBER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OF </a:t>
          </a:r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SUBSCRIPTIONS BY MONTH</a:t>
          </a:r>
        </a:p>
      </xdr:txBody>
    </xdr:sp>
    <xdr:clientData/>
  </xdr:twoCellAnchor>
  <xdr:twoCellAnchor>
    <xdr:from>
      <xdr:col>1</xdr:col>
      <xdr:colOff>177800</xdr:colOff>
      <xdr:row>5</xdr:row>
      <xdr:rowOff>0</xdr:rowOff>
    </xdr:from>
    <xdr:to>
      <xdr:col>10</xdr:col>
      <xdr:colOff>99700</xdr:colOff>
      <xdr:row>6</xdr:row>
      <xdr:rowOff>370454</xdr:rowOff>
    </xdr:to>
    <xdr:sp macro="" textlink="">
      <xdr:nvSpPr>
        <xdr:cNvPr id="42" name="Retângulo: Cantos Superiores Arredondados 41">
          <a:extLst>
            <a:ext uri="{FF2B5EF4-FFF2-40B4-BE49-F238E27FC236}">
              <a16:creationId xmlns:a16="http://schemas.microsoft.com/office/drawing/2014/main" id="{CBB49443-B737-45B9-8920-14C452E5F257}"/>
            </a:ext>
          </a:extLst>
        </xdr:cNvPr>
        <xdr:cNvSpPr/>
      </xdr:nvSpPr>
      <xdr:spPr>
        <a:xfrm>
          <a:off x="1549400" y="990600"/>
          <a:ext cx="5040000" cy="49745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SUBSCRIPTIONS VALUE TOTAL</a:t>
          </a:r>
        </a:p>
      </xdr:txBody>
    </xdr:sp>
    <xdr:clientData/>
  </xdr:twoCellAnchor>
  <xdr:twoCellAnchor editAs="absolute">
    <xdr:from>
      <xdr:col>1</xdr:col>
      <xdr:colOff>127000</xdr:colOff>
      <xdr:row>0</xdr:row>
      <xdr:rowOff>0</xdr:rowOff>
    </xdr:from>
    <xdr:to>
      <xdr:col>2</xdr:col>
      <xdr:colOff>469900</xdr:colOff>
      <xdr:row>1</xdr:row>
      <xdr:rowOff>491946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9B7C4EA7-12FC-459E-BEF0-ED861B50BE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498600" y="0"/>
          <a:ext cx="584200" cy="669746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0</xdr:row>
      <xdr:rowOff>152400</xdr:rowOff>
    </xdr:from>
    <xdr:to>
      <xdr:col>0</xdr:col>
      <xdr:colOff>1000125</xdr:colOff>
      <xdr:row>3</xdr:row>
      <xdr:rowOff>40640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28382E17-CA8B-45B7-9B61-82069EBA15DC}"/>
            </a:ext>
          </a:extLst>
        </xdr:cNvPr>
        <xdr:cNvSpPr/>
      </xdr:nvSpPr>
      <xdr:spPr>
        <a:xfrm>
          <a:off x="304800" y="152400"/>
          <a:ext cx="695325" cy="662940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88900</xdr:colOff>
      <xdr:row>3</xdr:row>
      <xdr:rowOff>76200</xdr:rowOff>
    </xdr:from>
    <xdr:to>
      <xdr:col>0</xdr:col>
      <xdr:colOff>1206500</xdr:colOff>
      <xdr:row>6</xdr:row>
      <xdr:rowOff>152400</xdr:rowOff>
    </xdr:to>
    <xdr:sp macro="" textlink="">
      <xdr:nvSpPr>
        <xdr:cNvPr id="45" name="Retângulo: Cantos Superiores Arredondados 44">
          <a:extLst>
            <a:ext uri="{FF2B5EF4-FFF2-40B4-BE49-F238E27FC236}">
              <a16:creationId xmlns:a16="http://schemas.microsoft.com/office/drawing/2014/main" id="{D92A11B7-AC53-4C3B-96A1-5A120ED2A64D}"/>
            </a:ext>
          </a:extLst>
        </xdr:cNvPr>
        <xdr:cNvSpPr/>
      </xdr:nvSpPr>
      <xdr:spPr>
        <a:xfrm>
          <a:off x="88900" y="850900"/>
          <a:ext cx="1117600" cy="41910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Hello,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Carlos!</a:t>
          </a:r>
          <a:endParaRPr lang="pt-BR" sz="1100" b="1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ano Furtado" refreshedDate="46043.778326504631" createdVersion="8" refreshedVersion="8" minRefreshableVersion="3" recordCount="295" xr:uid="{0D99520B-273C-401D-B759-6EDFBD8AA085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6941422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x v="0"/>
    <s v="Yes"/>
    <n v="20"/>
    <n v="5"/>
    <x v="0"/>
  </r>
  <r>
    <n v="3232"/>
    <x v="1"/>
    <x v="1"/>
    <x v="1"/>
    <x v="1"/>
    <n v="5"/>
    <x v="1"/>
    <s v="No"/>
    <x v="1"/>
    <s v="No"/>
    <n v="0"/>
    <n v="0"/>
    <x v="1"/>
  </r>
  <r>
    <n v="3233"/>
    <x v="2"/>
    <x v="2"/>
    <x v="2"/>
    <x v="0"/>
    <n v="10"/>
    <x v="2"/>
    <s v="No"/>
    <x v="1"/>
    <s v="Yes"/>
    <n v="20"/>
    <n v="10"/>
    <x v="2"/>
  </r>
  <r>
    <n v="3234"/>
    <x v="3"/>
    <x v="0"/>
    <x v="3"/>
    <x v="1"/>
    <n v="15"/>
    <x v="0"/>
    <s v="Yes"/>
    <x v="0"/>
    <s v="Yes"/>
    <n v="20"/>
    <n v="3"/>
    <x v="3"/>
  </r>
  <r>
    <n v="3235"/>
    <x v="4"/>
    <x v="1"/>
    <x v="4"/>
    <x v="0"/>
    <n v="5"/>
    <x v="0"/>
    <s v="No"/>
    <x v="1"/>
    <s v="No"/>
    <n v="0"/>
    <n v="1"/>
    <x v="4"/>
  </r>
  <r>
    <n v="3236"/>
    <x v="5"/>
    <x v="2"/>
    <x v="5"/>
    <x v="1"/>
    <n v="10"/>
    <x v="0"/>
    <s v="No"/>
    <x v="1"/>
    <s v="Yes"/>
    <n v="20"/>
    <n v="2"/>
    <x v="5"/>
  </r>
  <r>
    <n v="3237"/>
    <x v="6"/>
    <x v="0"/>
    <x v="6"/>
    <x v="0"/>
    <n v="15"/>
    <x v="2"/>
    <s v="Yes"/>
    <x v="0"/>
    <s v="Yes"/>
    <n v="20"/>
    <n v="10"/>
    <x v="6"/>
  </r>
  <r>
    <n v="3238"/>
    <x v="7"/>
    <x v="1"/>
    <x v="7"/>
    <x v="0"/>
    <n v="5"/>
    <x v="1"/>
    <s v="No"/>
    <x v="1"/>
    <s v="No"/>
    <n v="0"/>
    <n v="0"/>
    <x v="1"/>
  </r>
  <r>
    <n v="3239"/>
    <x v="8"/>
    <x v="0"/>
    <x v="4"/>
    <x v="1"/>
    <n v="15"/>
    <x v="0"/>
    <s v="Yes"/>
    <x v="0"/>
    <s v="Yes"/>
    <n v="20"/>
    <n v="5"/>
    <x v="0"/>
  </r>
  <r>
    <n v="3240"/>
    <x v="9"/>
    <x v="2"/>
    <x v="8"/>
    <x v="0"/>
    <n v="10"/>
    <x v="2"/>
    <s v="No"/>
    <x v="1"/>
    <s v="Yes"/>
    <n v="20"/>
    <n v="15"/>
    <x v="7"/>
  </r>
  <r>
    <n v="3241"/>
    <x v="10"/>
    <x v="1"/>
    <x v="9"/>
    <x v="1"/>
    <n v="5"/>
    <x v="0"/>
    <s v="No"/>
    <x v="1"/>
    <s v="No"/>
    <n v="0"/>
    <n v="1"/>
    <x v="4"/>
  </r>
  <r>
    <n v="3242"/>
    <x v="11"/>
    <x v="0"/>
    <x v="10"/>
    <x v="0"/>
    <n v="15"/>
    <x v="1"/>
    <s v="Yes"/>
    <x v="0"/>
    <s v="Yes"/>
    <n v="20"/>
    <n v="20"/>
    <x v="8"/>
  </r>
  <r>
    <n v="3243"/>
    <x v="12"/>
    <x v="2"/>
    <x v="11"/>
    <x v="1"/>
    <n v="10"/>
    <x v="0"/>
    <s v="No"/>
    <x v="1"/>
    <s v="Yes"/>
    <n v="20"/>
    <n v="10"/>
    <x v="2"/>
  </r>
  <r>
    <n v="3244"/>
    <x v="13"/>
    <x v="1"/>
    <x v="12"/>
    <x v="0"/>
    <n v="5"/>
    <x v="2"/>
    <s v="No"/>
    <x v="1"/>
    <s v="No"/>
    <n v="0"/>
    <n v="0"/>
    <x v="1"/>
  </r>
  <r>
    <n v="3245"/>
    <x v="14"/>
    <x v="0"/>
    <x v="13"/>
    <x v="1"/>
    <n v="15"/>
    <x v="0"/>
    <s v="Yes"/>
    <x v="0"/>
    <s v="Yes"/>
    <n v="20"/>
    <n v="8"/>
    <x v="9"/>
  </r>
  <r>
    <n v="3246"/>
    <x v="15"/>
    <x v="2"/>
    <x v="14"/>
    <x v="0"/>
    <n v="10"/>
    <x v="1"/>
    <s v="No"/>
    <x v="1"/>
    <s v="Yes"/>
    <n v="20"/>
    <n v="12"/>
    <x v="10"/>
  </r>
  <r>
    <n v="3247"/>
    <x v="16"/>
    <x v="1"/>
    <x v="15"/>
    <x v="1"/>
    <n v="5"/>
    <x v="0"/>
    <s v="No"/>
    <x v="1"/>
    <s v="No"/>
    <n v="0"/>
    <n v="2"/>
    <x v="11"/>
  </r>
  <r>
    <n v="3248"/>
    <x v="17"/>
    <x v="0"/>
    <x v="16"/>
    <x v="0"/>
    <n v="15"/>
    <x v="2"/>
    <s v="Yes"/>
    <x v="0"/>
    <s v="Yes"/>
    <n v="20"/>
    <n v="7"/>
    <x v="12"/>
  </r>
  <r>
    <n v="3249"/>
    <x v="18"/>
    <x v="2"/>
    <x v="17"/>
    <x v="1"/>
    <n v="10"/>
    <x v="0"/>
    <s v="No"/>
    <x v="1"/>
    <s v="Yes"/>
    <n v="20"/>
    <n v="5"/>
    <x v="13"/>
  </r>
  <r>
    <n v="3250"/>
    <x v="19"/>
    <x v="1"/>
    <x v="18"/>
    <x v="0"/>
    <n v="5"/>
    <x v="1"/>
    <s v="No"/>
    <x v="1"/>
    <s v="No"/>
    <n v="0"/>
    <n v="0"/>
    <x v="1"/>
  </r>
  <r>
    <n v="3251"/>
    <x v="20"/>
    <x v="0"/>
    <x v="19"/>
    <x v="1"/>
    <n v="15"/>
    <x v="0"/>
    <s v="Yes"/>
    <x v="0"/>
    <s v="Yes"/>
    <n v="20"/>
    <n v="3"/>
    <x v="3"/>
  </r>
  <r>
    <n v="3252"/>
    <x v="21"/>
    <x v="2"/>
    <x v="20"/>
    <x v="0"/>
    <n v="10"/>
    <x v="2"/>
    <s v="No"/>
    <x v="1"/>
    <s v="Yes"/>
    <n v="20"/>
    <n v="15"/>
    <x v="7"/>
  </r>
  <r>
    <n v="3253"/>
    <x v="22"/>
    <x v="1"/>
    <x v="21"/>
    <x v="1"/>
    <n v="5"/>
    <x v="0"/>
    <s v="No"/>
    <x v="1"/>
    <s v="No"/>
    <n v="0"/>
    <n v="1"/>
    <x v="4"/>
  </r>
  <r>
    <n v="3254"/>
    <x v="23"/>
    <x v="0"/>
    <x v="22"/>
    <x v="0"/>
    <n v="15"/>
    <x v="1"/>
    <s v="Yes"/>
    <x v="0"/>
    <s v="Yes"/>
    <n v="20"/>
    <n v="20"/>
    <x v="8"/>
  </r>
  <r>
    <n v="3255"/>
    <x v="24"/>
    <x v="2"/>
    <x v="23"/>
    <x v="1"/>
    <n v="10"/>
    <x v="0"/>
    <s v="No"/>
    <x v="1"/>
    <s v="Yes"/>
    <n v="20"/>
    <n v="10"/>
    <x v="2"/>
  </r>
  <r>
    <n v="3256"/>
    <x v="25"/>
    <x v="1"/>
    <x v="24"/>
    <x v="0"/>
    <n v="5"/>
    <x v="2"/>
    <s v="No"/>
    <x v="1"/>
    <s v="No"/>
    <n v="0"/>
    <n v="0"/>
    <x v="1"/>
  </r>
  <r>
    <n v="3257"/>
    <x v="26"/>
    <x v="0"/>
    <x v="25"/>
    <x v="1"/>
    <n v="15"/>
    <x v="0"/>
    <s v="Yes"/>
    <x v="0"/>
    <s v="Yes"/>
    <n v="20"/>
    <n v="5"/>
    <x v="0"/>
  </r>
  <r>
    <n v="3258"/>
    <x v="27"/>
    <x v="2"/>
    <x v="26"/>
    <x v="0"/>
    <n v="10"/>
    <x v="1"/>
    <s v="No"/>
    <x v="1"/>
    <s v="Yes"/>
    <n v="20"/>
    <n v="15"/>
    <x v="7"/>
  </r>
  <r>
    <n v="3259"/>
    <x v="28"/>
    <x v="1"/>
    <x v="27"/>
    <x v="1"/>
    <n v="5"/>
    <x v="0"/>
    <s v="No"/>
    <x v="1"/>
    <s v="No"/>
    <n v="0"/>
    <n v="1"/>
    <x v="4"/>
  </r>
  <r>
    <n v="3260"/>
    <x v="29"/>
    <x v="0"/>
    <x v="28"/>
    <x v="0"/>
    <n v="15"/>
    <x v="2"/>
    <s v="Yes"/>
    <x v="0"/>
    <s v="Yes"/>
    <n v="20"/>
    <n v="7"/>
    <x v="12"/>
  </r>
  <r>
    <n v="3261"/>
    <x v="30"/>
    <x v="2"/>
    <x v="29"/>
    <x v="1"/>
    <n v="10"/>
    <x v="0"/>
    <s v="No"/>
    <x v="1"/>
    <s v="Yes"/>
    <n v="20"/>
    <n v="10"/>
    <x v="2"/>
  </r>
  <r>
    <n v="3262"/>
    <x v="31"/>
    <x v="1"/>
    <x v="30"/>
    <x v="0"/>
    <n v="5"/>
    <x v="1"/>
    <s v="No"/>
    <x v="1"/>
    <s v="No"/>
    <n v="0"/>
    <n v="0"/>
    <x v="1"/>
  </r>
  <r>
    <n v="3263"/>
    <x v="32"/>
    <x v="0"/>
    <x v="31"/>
    <x v="1"/>
    <n v="15"/>
    <x v="0"/>
    <s v="Yes"/>
    <x v="0"/>
    <s v="Yes"/>
    <n v="20"/>
    <n v="3"/>
    <x v="3"/>
  </r>
  <r>
    <n v="3264"/>
    <x v="33"/>
    <x v="2"/>
    <x v="32"/>
    <x v="0"/>
    <n v="10"/>
    <x v="2"/>
    <s v="No"/>
    <x v="1"/>
    <s v="Yes"/>
    <n v="20"/>
    <n v="15"/>
    <x v="7"/>
  </r>
  <r>
    <n v="3265"/>
    <x v="34"/>
    <x v="1"/>
    <x v="33"/>
    <x v="1"/>
    <n v="5"/>
    <x v="0"/>
    <s v="No"/>
    <x v="1"/>
    <s v="No"/>
    <n v="0"/>
    <n v="1"/>
    <x v="4"/>
  </r>
  <r>
    <n v="3266"/>
    <x v="35"/>
    <x v="1"/>
    <x v="34"/>
    <x v="0"/>
    <n v="5"/>
    <x v="0"/>
    <s v="No"/>
    <x v="1"/>
    <s v="No"/>
    <n v="0"/>
    <n v="0"/>
    <x v="1"/>
  </r>
  <r>
    <n v="3267"/>
    <x v="36"/>
    <x v="0"/>
    <x v="35"/>
    <x v="1"/>
    <n v="15"/>
    <x v="2"/>
    <s v="Yes"/>
    <x v="0"/>
    <s v="Yes"/>
    <n v="20"/>
    <n v="7"/>
    <x v="12"/>
  </r>
  <r>
    <n v="3268"/>
    <x v="37"/>
    <x v="2"/>
    <x v="36"/>
    <x v="0"/>
    <n v="10"/>
    <x v="1"/>
    <s v="No"/>
    <x v="1"/>
    <s v="Yes"/>
    <n v="20"/>
    <n v="10"/>
    <x v="2"/>
  </r>
  <r>
    <n v="3269"/>
    <x v="38"/>
    <x v="1"/>
    <x v="37"/>
    <x v="1"/>
    <n v="5"/>
    <x v="2"/>
    <s v="No"/>
    <x v="1"/>
    <s v="No"/>
    <n v="0"/>
    <n v="1"/>
    <x v="4"/>
  </r>
  <r>
    <n v="3270"/>
    <x v="39"/>
    <x v="0"/>
    <x v="38"/>
    <x v="0"/>
    <n v="15"/>
    <x v="0"/>
    <s v="Yes"/>
    <x v="0"/>
    <s v="Yes"/>
    <n v="20"/>
    <n v="15"/>
    <x v="14"/>
  </r>
  <r>
    <n v="3271"/>
    <x v="40"/>
    <x v="2"/>
    <x v="39"/>
    <x v="1"/>
    <n v="10"/>
    <x v="0"/>
    <s v="No"/>
    <x v="1"/>
    <s v="Yes"/>
    <n v="20"/>
    <n v="5"/>
    <x v="13"/>
  </r>
  <r>
    <n v="3272"/>
    <x v="41"/>
    <x v="1"/>
    <x v="40"/>
    <x v="0"/>
    <n v="5"/>
    <x v="1"/>
    <s v="No"/>
    <x v="1"/>
    <s v="No"/>
    <n v="0"/>
    <n v="0"/>
    <x v="1"/>
  </r>
  <r>
    <n v="3273"/>
    <x v="42"/>
    <x v="0"/>
    <x v="41"/>
    <x v="1"/>
    <n v="15"/>
    <x v="2"/>
    <s v="Yes"/>
    <x v="0"/>
    <s v="Yes"/>
    <n v="20"/>
    <n v="20"/>
    <x v="8"/>
  </r>
  <r>
    <n v="3274"/>
    <x v="43"/>
    <x v="2"/>
    <x v="42"/>
    <x v="0"/>
    <n v="10"/>
    <x v="2"/>
    <s v="No"/>
    <x v="1"/>
    <s v="Yes"/>
    <n v="20"/>
    <n v="12"/>
    <x v="10"/>
  </r>
  <r>
    <n v="3275"/>
    <x v="44"/>
    <x v="1"/>
    <x v="43"/>
    <x v="1"/>
    <n v="5"/>
    <x v="0"/>
    <s v="No"/>
    <x v="1"/>
    <s v="No"/>
    <n v="0"/>
    <n v="2"/>
    <x v="11"/>
  </r>
  <r>
    <n v="3276"/>
    <x v="45"/>
    <x v="0"/>
    <x v="44"/>
    <x v="0"/>
    <n v="15"/>
    <x v="1"/>
    <s v="Yes"/>
    <x v="0"/>
    <s v="Yes"/>
    <n v="20"/>
    <n v="5"/>
    <x v="0"/>
  </r>
  <r>
    <n v="3277"/>
    <x v="46"/>
    <x v="2"/>
    <x v="45"/>
    <x v="1"/>
    <n v="10"/>
    <x v="0"/>
    <s v="No"/>
    <x v="1"/>
    <s v="Yes"/>
    <n v="20"/>
    <n v="10"/>
    <x v="2"/>
  </r>
  <r>
    <n v="3278"/>
    <x v="47"/>
    <x v="1"/>
    <x v="46"/>
    <x v="0"/>
    <n v="5"/>
    <x v="2"/>
    <s v="No"/>
    <x v="1"/>
    <s v="No"/>
    <n v="0"/>
    <n v="0"/>
    <x v="1"/>
  </r>
  <r>
    <n v="3279"/>
    <x v="48"/>
    <x v="0"/>
    <x v="47"/>
    <x v="1"/>
    <n v="15"/>
    <x v="0"/>
    <s v="Yes"/>
    <x v="0"/>
    <s v="Yes"/>
    <n v="20"/>
    <n v="3"/>
    <x v="3"/>
  </r>
  <r>
    <n v="3280"/>
    <x v="49"/>
    <x v="2"/>
    <x v="48"/>
    <x v="0"/>
    <n v="10"/>
    <x v="1"/>
    <s v="No"/>
    <x v="1"/>
    <s v="Yes"/>
    <n v="20"/>
    <n v="15"/>
    <x v="7"/>
  </r>
  <r>
    <n v="3281"/>
    <x v="50"/>
    <x v="1"/>
    <x v="49"/>
    <x v="1"/>
    <n v="5"/>
    <x v="0"/>
    <s v="No"/>
    <x v="1"/>
    <s v="No"/>
    <n v="0"/>
    <n v="1"/>
    <x v="4"/>
  </r>
  <r>
    <n v="3282"/>
    <x v="51"/>
    <x v="0"/>
    <x v="50"/>
    <x v="0"/>
    <n v="15"/>
    <x v="2"/>
    <s v="Yes"/>
    <x v="0"/>
    <s v="Yes"/>
    <n v="20"/>
    <n v="7"/>
    <x v="12"/>
  </r>
  <r>
    <n v="3283"/>
    <x v="52"/>
    <x v="2"/>
    <x v="51"/>
    <x v="1"/>
    <n v="10"/>
    <x v="0"/>
    <s v="No"/>
    <x v="1"/>
    <s v="Yes"/>
    <n v="20"/>
    <n v="10"/>
    <x v="2"/>
  </r>
  <r>
    <n v="3284"/>
    <x v="53"/>
    <x v="1"/>
    <x v="52"/>
    <x v="0"/>
    <n v="5"/>
    <x v="1"/>
    <s v="No"/>
    <x v="1"/>
    <s v="No"/>
    <n v="0"/>
    <n v="0"/>
    <x v="1"/>
  </r>
  <r>
    <n v="3285"/>
    <x v="54"/>
    <x v="0"/>
    <x v="53"/>
    <x v="1"/>
    <n v="15"/>
    <x v="0"/>
    <s v="Yes"/>
    <x v="0"/>
    <s v="Yes"/>
    <n v="20"/>
    <n v="20"/>
    <x v="8"/>
  </r>
  <r>
    <n v="3286"/>
    <x v="55"/>
    <x v="2"/>
    <x v="54"/>
    <x v="0"/>
    <n v="10"/>
    <x v="2"/>
    <s v="No"/>
    <x v="1"/>
    <s v="Yes"/>
    <n v="20"/>
    <n v="15"/>
    <x v="7"/>
  </r>
  <r>
    <n v="3287"/>
    <x v="56"/>
    <x v="1"/>
    <x v="55"/>
    <x v="1"/>
    <n v="5"/>
    <x v="0"/>
    <s v="No"/>
    <x v="1"/>
    <s v="No"/>
    <n v="0"/>
    <n v="1"/>
    <x v="4"/>
  </r>
  <r>
    <n v="3288"/>
    <x v="57"/>
    <x v="0"/>
    <x v="56"/>
    <x v="0"/>
    <n v="15"/>
    <x v="1"/>
    <s v="Yes"/>
    <x v="0"/>
    <s v="Yes"/>
    <n v="20"/>
    <n v="3"/>
    <x v="3"/>
  </r>
  <r>
    <n v="3289"/>
    <x v="58"/>
    <x v="2"/>
    <x v="57"/>
    <x v="1"/>
    <n v="10"/>
    <x v="0"/>
    <s v="No"/>
    <x v="1"/>
    <s v="Yes"/>
    <n v="20"/>
    <n v="10"/>
    <x v="2"/>
  </r>
  <r>
    <n v="3290"/>
    <x v="59"/>
    <x v="1"/>
    <x v="58"/>
    <x v="0"/>
    <n v="5"/>
    <x v="2"/>
    <s v="No"/>
    <x v="1"/>
    <s v="No"/>
    <n v="0"/>
    <n v="0"/>
    <x v="1"/>
  </r>
  <r>
    <n v="3291"/>
    <x v="60"/>
    <x v="0"/>
    <x v="59"/>
    <x v="1"/>
    <n v="15"/>
    <x v="0"/>
    <s v="Yes"/>
    <x v="0"/>
    <s v="Yes"/>
    <n v="20"/>
    <n v="5"/>
    <x v="0"/>
  </r>
  <r>
    <n v="3292"/>
    <x v="61"/>
    <x v="2"/>
    <x v="60"/>
    <x v="0"/>
    <n v="10"/>
    <x v="1"/>
    <s v="No"/>
    <x v="1"/>
    <s v="Yes"/>
    <n v="20"/>
    <n v="15"/>
    <x v="7"/>
  </r>
  <r>
    <n v="3293"/>
    <x v="62"/>
    <x v="1"/>
    <x v="61"/>
    <x v="1"/>
    <n v="5"/>
    <x v="0"/>
    <s v="No"/>
    <x v="1"/>
    <s v="No"/>
    <n v="0"/>
    <n v="1"/>
    <x v="4"/>
  </r>
  <r>
    <n v="3294"/>
    <x v="63"/>
    <x v="0"/>
    <x v="62"/>
    <x v="0"/>
    <n v="15"/>
    <x v="2"/>
    <s v="Yes"/>
    <x v="0"/>
    <s v="Yes"/>
    <n v="20"/>
    <n v="20"/>
    <x v="8"/>
  </r>
  <r>
    <n v="3295"/>
    <x v="64"/>
    <x v="2"/>
    <x v="63"/>
    <x v="1"/>
    <n v="10"/>
    <x v="0"/>
    <s v="No"/>
    <x v="1"/>
    <s v="Yes"/>
    <n v="20"/>
    <n v="5"/>
    <x v="13"/>
  </r>
  <r>
    <n v="3296"/>
    <x v="65"/>
    <x v="1"/>
    <x v="64"/>
    <x v="1"/>
    <n v="5"/>
    <x v="0"/>
    <s v="No"/>
    <x v="1"/>
    <s v="No"/>
    <n v="0"/>
    <n v="0"/>
    <x v="1"/>
  </r>
  <r>
    <n v="3297"/>
    <x v="66"/>
    <x v="0"/>
    <x v="65"/>
    <x v="0"/>
    <n v="15"/>
    <x v="2"/>
    <s v="Yes"/>
    <x v="0"/>
    <s v="Yes"/>
    <n v="20"/>
    <n v="7"/>
    <x v="12"/>
  </r>
  <r>
    <n v="3298"/>
    <x v="67"/>
    <x v="2"/>
    <x v="66"/>
    <x v="1"/>
    <n v="10"/>
    <x v="1"/>
    <s v="No"/>
    <x v="1"/>
    <s v="Yes"/>
    <n v="20"/>
    <n v="10"/>
    <x v="2"/>
  </r>
  <r>
    <n v="3299"/>
    <x v="68"/>
    <x v="1"/>
    <x v="67"/>
    <x v="0"/>
    <n v="5"/>
    <x v="2"/>
    <s v="No"/>
    <x v="1"/>
    <s v="No"/>
    <n v="0"/>
    <n v="1"/>
    <x v="4"/>
  </r>
  <r>
    <n v="3300"/>
    <x v="69"/>
    <x v="0"/>
    <x v="68"/>
    <x v="1"/>
    <n v="15"/>
    <x v="0"/>
    <s v="Yes"/>
    <x v="0"/>
    <s v="Yes"/>
    <n v="20"/>
    <n v="15"/>
    <x v="14"/>
  </r>
  <r>
    <n v="3301"/>
    <x v="70"/>
    <x v="2"/>
    <x v="69"/>
    <x v="0"/>
    <n v="10"/>
    <x v="0"/>
    <s v="No"/>
    <x v="1"/>
    <s v="Yes"/>
    <n v="20"/>
    <n v="5"/>
    <x v="13"/>
  </r>
  <r>
    <n v="3302"/>
    <x v="71"/>
    <x v="1"/>
    <x v="70"/>
    <x v="1"/>
    <n v="5"/>
    <x v="1"/>
    <s v="No"/>
    <x v="1"/>
    <s v="No"/>
    <n v="0"/>
    <n v="0"/>
    <x v="1"/>
  </r>
  <r>
    <n v="3303"/>
    <x v="72"/>
    <x v="0"/>
    <x v="71"/>
    <x v="0"/>
    <n v="15"/>
    <x v="2"/>
    <s v="Yes"/>
    <x v="0"/>
    <s v="Yes"/>
    <n v="20"/>
    <n v="20"/>
    <x v="8"/>
  </r>
  <r>
    <n v="3304"/>
    <x v="73"/>
    <x v="2"/>
    <x v="72"/>
    <x v="1"/>
    <n v="10"/>
    <x v="2"/>
    <s v="No"/>
    <x v="1"/>
    <s v="Yes"/>
    <n v="20"/>
    <n v="12"/>
    <x v="10"/>
  </r>
  <r>
    <n v="3305"/>
    <x v="74"/>
    <x v="1"/>
    <x v="73"/>
    <x v="0"/>
    <n v="5"/>
    <x v="0"/>
    <s v="No"/>
    <x v="1"/>
    <s v="No"/>
    <n v="0"/>
    <n v="2"/>
    <x v="11"/>
  </r>
  <r>
    <n v="3306"/>
    <x v="75"/>
    <x v="0"/>
    <x v="74"/>
    <x v="1"/>
    <n v="15"/>
    <x v="1"/>
    <s v="Yes"/>
    <x v="0"/>
    <s v="Yes"/>
    <n v="20"/>
    <n v="5"/>
    <x v="0"/>
  </r>
  <r>
    <n v="3307"/>
    <x v="76"/>
    <x v="2"/>
    <x v="75"/>
    <x v="0"/>
    <n v="10"/>
    <x v="0"/>
    <s v="No"/>
    <x v="1"/>
    <s v="Yes"/>
    <n v="20"/>
    <n v="10"/>
    <x v="2"/>
  </r>
  <r>
    <n v="3308"/>
    <x v="77"/>
    <x v="1"/>
    <x v="76"/>
    <x v="1"/>
    <n v="5"/>
    <x v="2"/>
    <s v="No"/>
    <x v="1"/>
    <s v="No"/>
    <n v="0"/>
    <n v="0"/>
    <x v="1"/>
  </r>
  <r>
    <n v="3309"/>
    <x v="78"/>
    <x v="0"/>
    <x v="77"/>
    <x v="0"/>
    <n v="15"/>
    <x v="0"/>
    <s v="Yes"/>
    <x v="0"/>
    <s v="Yes"/>
    <n v="20"/>
    <n v="3"/>
    <x v="3"/>
  </r>
  <r>
    <n v="3310"/>
    <x v="79"/>
    <x v="2"/>
    <x v="78"/>
    <x v="1"/>
    <n v="10"/>
    <x v="1"/>
    <s v="No"/>
    <x v="1"/>
    <s v="Yes"/>
    <n v="20"/>
    <n v="15"/>
    <x v="7"/>
  </r>
  <r>
    <n v="3311"/>
    <x v="80"/>
    <x v="1"/>
    <x v="79"/>
    <x v="0"/>
    <n v="5"/>
    <x v="0"/>
    <s v="No"/>
    <x v="1"/>
    <s v="No"/>
    <n v="0"/>
    <n v="1"/>
    <x v="4"/>
  </r>
  <r>
    <n v="3312"/>
    <x v="81"/>
    <x v="0"/>
    <x v="80"/>
    <x v="1"/>
    <n v="15"/>
    <x v="2"/>
    <s v="Yes"/>
    <x v="0"/>
    <s v="Yes"/>
    <n v="20"/>
    <n v="7"/>
    <x v="12"/>
  </r>
  <r>
    <n v="3313"/>
    <x v="82"/>
    <x v="2"/>
    <x v="81"/>
    <x v="0"/>
    <n v="10"/>
    <x v="0"/>
    <s v="No"/>
    <x v="1"/>
    <s v="Yes"/>
    <n v="20"/>
    <n v="10"/>
    <x v="2"/>
  </r>
  <r>
    <n v="3314"/>
    <x v="83"/>
    <x v="1"/>
    <x v="82"/>
    <x v="1"/>
    <n v="5"/>
    <x v="1"/>
    <s v="No"/>
    <x v="1"/>
    <s v="No"/>
    <n v="0"/>
    <n v="0"/>
    <x v="1"/>
  </r>
  <r>
    <n v="3315"/>
    <x v="84"/>
    <x v="0"/>
    <x v="83"/>
    <x v="0"/>
    <n v="15"/>
    <x v="0"/>
    <s v="Yes"/>
    <x v="0"/>
    <s v="Yes"/>
    <n v="20"/>
    <n v="20"/>
    <x v="8"/>
  </r>
  <r>
    <n v="3316"/>
    <x v="85"/>
    <x v="2"/>
    <x v="84"/>
    <x v="1"/>
    <n v="10"/>
    <x v="2"/>
    <s v="No"/>
    <x v="1"/>
    <s v="Yes"/>
    <n v="20"/>
    <n v="15"/>
    <x v="7"/>
  </r>
  <r>
    <n v="3317"/>
    <x v="86"/>
    <x v="1"/>
    <x v="85"/>
    <x v="0"/>
    <n v="5"/>
    <x v="0"/>
    <s v="No"/>
    <x v="1"/>
    <s v="No"/>
    <n v="0"/>
    <n v="1"/>
    <x v="4"/>
  </r>
  <r>
    <n v="3318"/>
    <x v="87"/>
    <x v="0"/>
    <x v="86"/>
    <x v="1"/>
    <n v="15"/>
    <x v="1"/>
    <s v="Yes"/>
    <x v="0"/>
    <s v="Yes"/>
    <n v="20"/>
    <n v="3"/>
    <x v="3"/>
  </r>
  <r>
    <n v="3319"/>
    <x v="88"/>
    <x v="2"/>
    <x v="87"/>
    <x v="0"/>
    <n v="10"/>
    <x v="0"/>
    <s v="No"/>
    <x v="1"/>
    <s v="Yes"/>
    <n v="20"/>
    <n v="10"/>
    <x v="2"/>
  </r>
  <r>
    <n v="3320"/>
    <x v="89"/>
    <x v="1"/>
    <x v="88"/>
    <x v="1"/>
    <n v="5"/>
    <x v="2"/>
    <s v="No"/>
    <x v="1"/>
    <s v="No"/>
    <n v="0"/>
    <n v="0"/>
    <x v="1"/>
  </r>
  <r>
    <n v="3321"/>
    <x v="90"/>
    <x v="0"/>
    <x v="89"/>
    <x v="0"/>
    <n v="15"/>
    <x v="0"/>
    <s v="Yes"/>
    <x v="0"/>
    <s v="Yes"/>
    <n v="20"/>
    <n v="5"/>
    <x v="0"/>
  </r>
  <r>
    <n v="3322"/>
    <x v="91"/>
    <x v="2"/>
    <x v="90"/>
    <x v="1"/>
    <n v="10"/>
    <x v="1"/>
    <s v="No"/>
    <x v="1"/>
    <s v="Yes"/>
    <n v="20"/>
    <n v="15"/>
    <x v="7"/>
  </r>
  <r>
    <n v="3323"/>
    <x v="92"/>
    <x v="1"/>
    <x v="91"/>
    <x v="0"/>
    <n v="5"/>
    <x v="0"/>
    <s v="No"/>
    <x v="1"/>
    <s v="No"/>
    <n v="0"/>
    <n v="1"/>
    <x v="4"/>
  </r>
  <r>
    <n v="3324"/>
    <x v="93"/>
    <x v="0"/>
    <x v="92"/>
    <x v="1"/>
    <n v="15"/>
    <x v="2"/>
    <s v="Yes"/>
    <x v="0"/>
    <s v="Yes"/>
    <n v="20"/>
    <n v="20"/>
    <x v="8"/>
  </r>
  <r>
    <n v="3325"/>
    <x v="94"/>
    <x v="2"/>
    <x v="93"/>
    <x v="0"/>
    <n v="10"/>
    <x v="2"/>
    <s v="No"/>
    <x v="1"/>
    <s v="Yes"/>
    <n v="20"/>
    <n v="15"/>
    <x v="7"/>
  </r>
  <r>
    <n v="3326"/>
    <x v="95"/>
    <x v="1"/>
    <x v="94"/>
    <x v="1"/>
    <n v="5"/>
    <x v="1"/>
    <s v="No"/>
    <x v="1"/>
    <s v="No"/>
    <n v="0"/>
    <n v="0"/>
    <x v="1"/>
  </r>
  <r>
    <n v="3327"/>
    <x v="96"/>
    <x v="0"/>
    <x v="95"/>
    <x v="0"/>
    <n v="15"/>
    <x v="0"/>
    <s v="Yes"/>
    <x v="0"/>
    <s v="Yes"/>
    <n v="20"/>
    <n v="7"/>
    <x v="12"/>
  </r>
  <r>
    <n v="3328"/>
    <x v="97"/>
    <x v="2"/>
    <x v="96"/>
    <x v="1"/>
    <n v="10"/>
    <x v="1"/>
    <s v="No"/>
    <x v="1"/>
    <s v="Yes"/>
    <n v="20"/>
    <n v="10"/>
    <x v="2"/>
  </r>
  <r>
    <n v="3329"/>
    <x v="98"/>
    <x v="1"/>
    <x v="97"/>
    <x v="0"/>
    <n v="5"/>
    <x v="2"/>
    <s v="No"/>
    <x v="1"/>
    <s v="No"/>
    <n v="0"/>
    <n v="1"/>
    <x v="4"/>
  </r>
  <r>
    <n v="3330"/>
    <x v="99"/>
    <x v="0"/>
    <x v="98"/>
    <x v="1"/>
    <n v="15"/>
    <x v="0"/>
    <s v="Yes"/>
    <x v="0"/>
    <s v="Yes"/>
    <n v="20"/>
    <n v="15"/>
    <x v="14"/>
  </r>
  <r>
    <n v="3331"/>
    <x v="100"/>
    <x v="2"/>
    <x v="99"/>
    <x v="0"/>
    <n v="10"/>
    <x v="0"/>
    <s v="No"/>
    <x v="1"/>
    <s v="Yes"/>
    <n v="20"/>
    <n v="5"/>
    <x v="13"/>
  </r>
  <r>
    <n v="3332"/>
    <x v="101"/>
    <x v="1"/>
    <x v="100"/>
    <x v="1"/>
    <n v="5"/>
    <x v="1"/>
    <s v="No"/>
    <x v="1"/>
    <s v="No"/>
    <n v="0"/>
    <n v="0"/>
    <x v="1"/>
  </r>
  <r>
    <n v="3333"/>
    <x v="102"/>
    <x v="0"/>
    <x v="101"/>
    <x v="0"/>
    <n v="15"/>
    <x v="2"/>
    <s v="Yes"/>
    <x v="0"/>
    <s v="Yes"/>
    <n v="20"/>
    <n v="20"/>
    <x v="8"/>
  </r>
  <r>
    <n v="3334"/>
    <x v="103"/>
    <x v="2"/>
    <x v="102"/>
    <x v="1"/>
    <n v="10"/>
    <x v="2"/>
    <s v="No"/>
    <x v="1"/>
    <s v="Yes"/>
    <n v="20"/>
    <n v="12"/>
    <x v="10"/>
  </r>
  <r>
    <n v="3335"/>
    <x v="104"/>
    <x v="1"/>
    <x v="103"/>
    <x v="0"/>
    <n v="5"/>
    <x v="0"/>
    <s v="No"/>
    <x v="1"/>
    <s v="No"/>
    <n v="0"/>
    <n v="2"/>
    <x v="11"/>
  </r>
  <r>
    <n v="3336"/>
    <x v="105"/>
    <x v="1"/>
    <x v="104"/>
    <x v="0"/>
    <n v="5"/>
    <x v="0"/>
    <s v="No"/>
    <x v="1"/>
    <s v="No"/>
    <n v="0"/>
    <n v="0"/>
    <x v="1"/>
  </r>
  <r>
    <n v="3337"/>
    <x v="106"/>
    <x v="0"/>
    <x v="105"/>
    <x v="1"/>
    <n v="15"/>
    <x v="2"/>
    <s v="Yes"/>
    <x v="0"/>
    <s v="Yes"/>
    <n v="20"/>
    <n v="7"/>
    <x v="12"/>
  </r>
  <r>
    <n v="3338"/>
    <x v="107"/>
    <x v="2"/>
    <x v="106"/>
    <x v="0"/>
    <n v="10"/>
    <x v="1"/>
    <s v="No"/>
    <x v="1"/>
    <s v="Yes"/>
    <n v="20"/>
    <n v="10"/>
    <x v="2"/>
  </r>
  <r>
    <n v="3339"/>
    <x v="108"/>
    <x v="1"/>
    <x v="107"/>
    <x v="1"/>
    <n v="5"/>
    <x v="2"/>
    <s v="No"/>
    <x v="1"/>
    <s v="No"/>
    <n v="0"/>
    <n v="1"/>
    <x v="4"/>
  </r>
  <r>
    <n v="3340"/>
    <x v="109"/>
    <x v="0"/>
    <x v="108"/>
    <x v="0"/>
    <n v="15"/>
    <x v="0"/>
    <s v="Yes"/>
    <x v="0"/>
    <s v="Yes"/>
    <n v="20"/>
    <n v="15"/>
    <x v="14"/>
  </r>
  <r>
    <n v="3341"/>
    <x v="110"/>
    <x v="2"/>
    <x v="109"/>
    <x v="1"/>
    <n v="10"/>
    <x v="0"/>
    <s v="No"/>
    <x v="1"/>
    <s v="Yes"/>
    <n v="20"/>
    <n v="5"/>
    <x v="13"/>
  </r>
  <r>
    <n v="3342"/>
    <x v="111"/>
    <x v="1"/>
    <x v="110"/>
    <x v="0"/>
    <n v="5"/>
    <x v="1"/>
    <s v="No"/>
    <x v="1"/>
    <s v="No"/>
    <n v="0"/>
    <n v="0"/>
    <x v="1"/>
  </r>
  <r>
    <n v="3343"/>
    <x v="112"/>
    <x v="0"/>
    <x v="111"/>
    <x v="1"/>
    <n v="15"/>
    <x v="2"/>
    <s v="Yes"/>
    <x v="0"/>
    <s v="Yes"/>
    <n v="20"/>
    <n v="20"/>
    <x v="8"/>
  </r>
  <r>
    <n v="3344"/>
    <x v="113"/>
    <x v="2"/>
    <x v="112"/>
    <x v="0"/>
    <n v="10"/>
    <x v="2"/>
    <s v="No"/>
    <x v="1"/>
    <s v="Yes"/>
    <n v="20"/>
    <n v="12"/>
    <x v="10"/>
  </r>
  <r>
    <n v="3345"/>
    <x v="114"/>
    <x v="1"/>
    <x v="113"/>
    <x v="1"/>
    <n v="5"/>
    <x v="0"/>
    <s v="No"/>
    <x v="1"/>
    <s v="No"/>
    <n v="0"/>
    <n v="2"/>
    <x v="11"/>
  </r>
  <r>
    <n v="3346"/>
    <x v="115"/>
    <x v="0"/>
    <x v="114"/>
    <x v="0"/>
    <n v="15"/>
    <x v="1"/>
    <s v="Yes"/>
    <x v="0"/>
    <s v="Yes"/>
    <n v="20"/>
    <n v="5"/>
    <x v="0"/>
  </r>
  <r>
    <n v="3347"/>
    <x v="116"/>
    <x v="2"/>
    <x v="115"/>
    <x v="1"/>
    <n v="10"/>
    <x v="0"/>
    <s v="No"/>
    <x v="1"/>
    <s v="Yes"/>
    <n v="20"/>
    <n v="10"/>
    <x v="2"/>
  </r>
  <r>
    <n v="3348"/>
    <x v="117"/>
    <x v="1"/>
    <x v="116"/>
    <x v="0"/>
    <n v="5"/>
    <x v="2"/>
    <s v="No"/>
    <x v="1"/>
    <s v="No"/>
    <n v="0"/>
    <n v="0"/>
    <x v="1"/>
  </r>
  <r>
    <n v="3349"/>
    <x v="93"/>
    <x v="0"/>
    <x v="117"/>
    <x v="1"/>
    <n v="15"/>
    <x v="0"/>
    <s v="Yes"/>
    <x v="0"/>
    <s v="Yes"/>
    <n v="20"/>
    <n v="3"/>
    <x v="3"/>
  </r>
  <r>
    <n v="3350"/>
    <x v="118"/>
    <x v="2"/>
    <x v="118"/>
    <x v="0"/>
    <n v="10"/>
    <x v="1"/>
    <s v="No"/>
    <x v="1"/>
    <s v="Yes"/>
    <n v="20"/>
    <n v="15"/>
    <x v="7"/>
  </r>
  <r>
    <n v="3351"/>
    <x v="119"/>
    <x v="1"/>
    <x v="119"/>
    <x v="1"/>
    <n v="5"/>
    <x v="0"/>
    <s v="No"/>
    <x v="1"/>
    <s v="No"/>
    <n v="0"/>
    <n v="1"/>
    <x v="4"/>
  </r>
  <r>
    <n v="3352"/>
    <x v="120"/>
    <x v="0"/>
    <x v="120"/>
    <x v="0"/>
    <n v="15"/>
    <x v="2"/>
    <s v="Yes"/>
    <x v="0"/>
    <s v="Yes"/>
    <n v="20"/>
    <n v="7"/>
    <x v="12"/>
  </r>
  <r>
    <n v="3353"/>
    <x v="121"/>
    <x v="2"/>
    <x v="121"/>
    <x v="1"/>
    <n v="10"/>
    <x v="0"/>
    <s v="No"/>
    <x v="1"/>
    <s v="Yes"/>
    <n v="20"/>
    <n v="10"/>
    <x v="2"/>
  </r>
  <r>
    <n v="3354"/>
    <x v="122"/>
    <x v="1"/>
    <x v="122"/>
    <x v="0"/>
    <n v="5"/>
    <x v="1"/>
    <s v="No"/>
    <x v="1"/>
    <s v="No"/>
    <n v="0"/>
    <n v="0"/>
    <x v="1"/>
  </r>
  <r>
    <n v="3355"/>
    <x v="123"/>
    <x v="0"/>
    <x v="123"/>
    <x v="1"/>
    <n v="15"/>
    <x v="0"/>
    <s v="Yes"/>
    <x v="0"/>
    <s v="Yes"/>
    <n v="20"/>
    <n v="20"/>
    <x v="8"/>
  </r>
  <r>
    <n v="3356"/>
    <x v="124"/>
    <x v="2"/>
    <x v="124"/>
    <x v="0"/>
    <n v="10"/>
    <x v="2"/>
    <s v="No"/>
    <x v="1"/>
    <s v="Yes"/>
    <n v="20"/>
    <n v="15"/>
    <x v="7"/>
  </r>
  <r>
    <n v="3357"/>
    <x v="125"/>
    <x v="1"/>
    <x v="125"/>
    <x v="1"/>
    <n v="5"/>
    <x v="0"/>
    <s v="No"/>
    <x v="1"/>
    <s v="No"/>
    <n v="0"/>
    <n v="1"/>
    <x v="4"/>
  </r>
  <r>
    <n v="3358"/>
    <x v="126"/>
    <x v="0"/>
    <x v="126"/>
    <x v="0"/>
    <n v="15"/>
    <x v="1"/>
    <s v="Yes"/>
    <x v="0"/>
    <s v="Yes"/>
    <n v="20"/>
    <n v="3"/>
    <x v="3"/>
  </r>
  <r>
    <n v="3359"/>
    <x v="127"/>
    <x v="2"/>
    <x v="127"/>
    <x v="1"/>
    <n v="10"/>
    <x v="0"/>
    <s v="No"/>
    <x v="1"/>
    <s v="Yes"/>
    <n v="20"/>
    <n v="10"/>
    <x v="2"/>
  </r>
  <r>
    <n v="3360"/>
    <x v="128"/>
    <x v="1"/>
    <x v="128"/>
    <x v="0"/>
    <n v="5"/>
    <x v="2"/>
    <s v="No"/>
    <x v="1"/>
    <s v="No"/>
    <n v="0"/>
    <n v="0"/>
    <x v="1"/>
  </r>
  <r>
    <n v="3361"/>
    <x v="129"/>
    <x v="0"/>
    <x v="129"/>
    <x v="1"/>
    <n v="15"/>
    <x v="0"/>
    <s v="Yes"/>
    <x v="0"/>
    <s v="Yes"/>
    <n v="20"/>
    <n v="15"/>
    <x v="14"/>
  </r>
  <r>
    <n v="3362"/>
    <x v="130"/>
    <x v="2"/>
    <x v="130"/>
    <x v="0"/>
    <n v="10"/>
    <x v="1"/>
    <s v="No"/>
    <x v="1"/>
    <s v="Yes"/>
    <n v="20"/>
    <n v="15"/>
    <x v="7"/>
  </r>
  <r>
    <n v="3363"/>
    <x v="131"/>
    <x v="1"/>
    <x v="131"/>
    <x v="1"/>
    <n v="5"/>
    <x v="0"/>
    <s v="No"/>
    <x v="1"/>
    <s v="No"/>
    <n v="0"/>
    <n v="1"/>
    <x v="4"/>
  </r>
  <r>
    <n v="3364"/>
    <x v="132"/>
    <x v="0"/>
    <x v="132"/>
    <x v="0"/>
    <n v="15"/>
    <x v="2"/>
    <s v="Yes"/>
    <x v="0"/>
    <s v="Yes"/>
    <n v="20"/>
    <n v="7"/>
    <x v="12"/>
  </r>
  <r>
    <n v="3365"/>
    <x v="133"/>
    <x v="2"/>
    <x v="133"/>
    <x v="1"/>
    <n v="10"/>
    <x v="0"/>
    <s v="No"/>
    <x v="1"/>
    <s v="Yes"/>
    <n v="20"/>
    <n v="10"/>
    <x v="2"/>
  </r>
  <r>
    <n v="3366"/>
    <x v="134"/>
    <x v="1"/>
    <x v="134"/>
    <x v="0"/>
    <n v="5"/>
    <x v="0"/>
    <s v="No"/>
    <x v="1"/>
    <s v="No"/>
    <n v="0"/>
    <n v="0"/>
    <x v="1"/>
  </r>
  <r>
    <n v="3367"/>
    <x v="135"/>
    <x v="0"/>
    <x v="135"/>
    <x v="1"/>
    <n v="15"/>
    <x v="2"/>
    <s v="Yes"/>
    <x v="0"/>
    <s v="Yes"/>
    <n v="20"/>
    <n v="7"/>
    <x v="12"/>
  </r>
  <r>
    <n v="3368"/>
    <x v="136"/>
    <x v="2"/>
    <x v="136"/>
    <x v="0"/>
    <n v="10"/>
    <x v="1"/>
    <s v="No"/>
    <x v="1"/>
    <s v="Yes"/>
    <n v="20"/>
    <n v="10"/>
    <x v="2"/>
  </r>
  <r>
    <n v="3369"/>
    <x v="137"/>
    <x v="1"/>
    <x v="137"/>
    <x v="1"/>
    <n v="5"/>
    <x v="2"/>
    <s v="No"/>
    <x v="1"/>
    <s v="No"/>
    <n v="0"/>
    <n v="1"/>
    <x v="4"/>
  </r>
  <r>
    <n v="3370"/>
    <x v="138"/>
    <x v="0"/>
    <x v="138"/>
    <x v="0"/>
    <n v="15"/>
    <x v="0"/>
    <s v="Yes"/>
    <x v="0"/>
    <s v="Yes"/>
    <n v="20"/>
    <n v="15"/>
    <x v="14"/>
  </r>
  <r>
    <n v="3371"/>
    <x v="139"/>
    <x v="2"/>
    <x v="139"/>
    <x v="1"/>
    <n v="10"/>
    <x v="0"/>
    <s v="No"/>
    <x v="1"/>
    <s v="Yes"/>
    <n v="20"/>
    <n v="5"/>
    <x v="13"/>
  </r>
  <r>
    <n v="3372"/>
    <x v="140"/>
    <x v="1"/>
    <x v="140"/>
    <x v="0"/>
    <n v="5"/>
    <x v="1"/>
    <s v="No"/>
    <x v="1"/>
    <s v="No"/>
    <n v="0"/>
    <n v="0"/>
    <x v="1"/>
  </r>
  <r>
    <n v="3373"/>
    <x v="141"/>
    <x v="0"/>
    <x v="141"/>
    <x v="1"/>
    <n v="15"/>
    <x v="2"/>
    <s v="Yes"/>
    <x v="0"/>
    <s v="Yes"/>
    <n v="20"/>
    <n v="20"/>
    <x v="8"/>
  </r>
  <r>
    <n v="3374"/>
    <x v="142"/>
    <x v="2"/>
    <x v="142"/>
    <x v="0"/>
    <n v="10"/>
    <x v="2"/>
    <s v="No"/>
    <x v="1"/>
    <s v="Yes"/>
    <n v="20"/>
    <n v="12"/>
    <x v="10"/>
  </r>
  <r>
    <n v="3375"/>
    <x v="143"/>
    <x v="1"/>
    <x v="143"/>
    <x v="1"/>
    <n v="5"/>
    <x v="0"/>
    <s v="No"/>
    <x v="1"/>
    <s v="No"/>
    <n v="0"/>
    <n v="2"/>
    <x v="11"/>
  </r>
  <r>
    <n v="3376"/>
    <x v="144"/>
    <x v="0"/>
    <x v="144"/>
    <x v="0"/>
    <n v="15"/>
    <x v="1"/>
    <s v="Yes"/>
    <x v="0"/>
    <s v="Yes"/>
    <n v="20"/>
    <n v="5"/>
    <x v="0"/>
  </r>
  <r>
    <n v="3377"/>
    <x v="145"/>
    <x v="2"/>
    <x v="145"/>
    <x v="1"/>
    <n v="10"/>
    <x v="0"/>
    <s v="No"/>
    <x v="1"/>
    <s v="Yes"/>
    <n v="20"/>
    <n v="10"/>
    <x v="2"/>
  </r>
  <r>
    <n v="3378"/>
    <x v="146"/>
    <x v="1"/>
    <x v="146"/>
    <x v="0"/>
    <n v="5"/>
    <x v="2"/>
    <s v="No"/>
    <x v="1"/>
    <s v="No"/>
    <n v="0"/>
    <n v="0"/>
    <x v="1"/>
  </r>
  <r>
    <n v="3379"/>
    <x v="147"/>
    <x v="0"/>
    <x v="147"/>
    <x v="1"/>
    <n v="15"/>
    <x v="0"/>
    <s v="Yes"/>
    <x v="0"/>
    <s v="Yes"/>
    <n v="20"/>
    <n v="3"/>
    <x v="3"/>
  </r>
  <r>
    <n v="3380"/>
    <x v="148"/>
    <x v="2"/>
    <x v="148"/>
    <x v="0"/>
    <n v="10"/>
    <x v="1"/>
    <s v="No"/>
    <x v="1"/>
    <s v="Yes"/>
    <n v="20"/>
    <n v="15"/>
    <x v="7"/>
  </r>
  <r>
    <n v="3381"/>
    <x v="149"/>
    <x v="1"/>
    <x v="149"/>
    <x v="1"/>
    <n v="5"/>
    <x v="0"/>
    <s v="No"/>
    <x v="1"/>
    <s v="No"/>
    <n v="0"/>
    <n v="1"/>
    <x v="4"/>
  </r>
  <r>
    <n v="3382"/>
    <x v="150"/>
    <x v="0"/>
    <x v="150"/>
    <x v="0"/>
    <n v="15"/>
    <x v="2"/>
    <s v="Yes"/>
    <x v="0"/>
    <s v="Yes"/>
    <n v="20"/>
    <n v="7"/>
    <x v="12"/>
  </r>
  <r>
    <n v="3383"/>
    <x v="151"/>
    <x v="2"/>
    <x v="151"/>
    <x v="1"/>
    <n v="10"/>
    <x v="0"/>
    <s v="No"/>
    <x v="1"/>
    <s v="Yes"/>
    <n v="20"/>
    <n v="10"/>
    <x v="2"/>
  </r>
  <r>
    <n v="3384"/>
    <x v="152"/>
    <x v="1"/>
    <x v="152"/>
    <x v="0"/>
    <n v="5"/>
    <x v="1"/>
    <s v="No"/>
    <x v="1"/>
    <s v="No"/>
    <n v="0"/>
    <n v="0"/>
    <x v="1"/>
  </r>
  <r>
    <n v="3385"/>
    <x v="153"/>
    <x v="0"/>
    <x v="153"/>
    <x v="1"/>
    <n v="15"/>
    <x v="0"/>
    <s v="Yes"/>
    <x v="0"/>
    <s v="Yes"/>
    <n v="20"/>
    <n v="20"/>
    <x v="8"/>
  </r>
  <r>
    <n v="3386"/>
    <x v="154"/>
    <x v="2"/>
    <x v="154"/>
    <x v="0"/>
    <n v="10"/>
    <x v="2"/>
    <s v="No"/>
    <x v="1"/>
    <s v="Yes"/>
    <n v="20"/>
    <n v="15"/>
    <x v="7"/>
  </r>
  <r>
    <n v="3387"/>
    <x v="155"/>
    <x v="1"/>
    <x v="155"/>
    <x v="1"/>
    <n v="5"/>
    <x v="0"/>
    <s v="No"/>
    <x v="1"/>
    <s v="No"/>
    <n v="0"/>
    <n v="1"/>
    <x v="4"/>
  </r>
  <r>
    <n v="3388"/>
    <x v="156"/>
    <x v="0"/>
    <x v="156"/>
    <x v="0"/>
    <n v="15"/>
    <x v="1"/>
    <s v="Yes"/>
    <x v="0"/>
    <s v="Yes"/>
    <n v="20"/>
    <n v="3"/>
    <x v="3"/>
  </r>
  <r>
    <n v="3389"/>
    <x v="157"/>
    <x v="2"/>
    <x v="157"/>
    <x v="1"/>
    <n v="10"/>
    <x v="0"/>
    <s v="No"/>
    <x v="1"/>
    <s v="Yes"/>
    <n v="20"/>
    <n v="10"/>
    <x v="2"/>
  </r>
  <r>
    <n v="3390"/>
    <x v="158"/>
    <x v="1"/>
    <x v="158"/>
    <x v="0"/>
    <n v="5"/>
    <x v="2"/>
    <s v="No"/>
    <x v="1"/>
    <s v="No"/>
    <n v="0"/>
    <n v="0"/>
    <x v="1"/>
  </r>
  <r>
    <n v="3391"/>
    <x v="58"/>
    <x v="0"/>
    <x v="159"/>
    <x v="1"/>
    <n v="15"/>
    <x v="0"/>
    <s v="Yes"/>
    <x v="0"/>
    <s v="Yes"/>
    <n v="20"/>
    <n v="15"/>
    <x v="14"/>
  </r>
  <r>
    <n v="3392"/>
    <x v="159"/>
    <x v="2"/>
    <x v="160"/>
    <x v="0"/>
    <n v="10"/>
    <x v="1"/>
    <s v="No"/>
    <x v="1"/>
    <s v="Yes"/>
    <n v="20"/>
    <n v="15"/>
    <x v="7"/>
  </r>
  <r>
    <n v="3393"/>
    <x v="160"/>
    <x v="1"/>
    <x v="161"/>
    <x v="1"/>
    <n v="5"/>
    <x v="0"/>
    <s v="No"/>
    <x v="1"/>
    <s v="No"/>
    <n v="0"/>
    <n v="1"/>
    <x v="4"/>
  </r>
  <r>
    <n v="3394"/>
    <x v="161"/>
    <x v="0"/>
    <x v="162"/>
    <x v="0"/>
    <n v="15"/>
    <x v="2"/>
    <s v="Yes"/>
    <x v="0"/>
    <s v="Yes"/>
    <n v="20"/>
    <n v="7"/>
    <x v="12"/>
  </r>
  <r>
    <n v="3395"/>
    <x v="162"/>
    <x v="2"/>
    <x v="163"/>
    <x v="1"/>
    <n v="10"/>
    <x v="0"/>
    <s v="No"/>
    <x v="1"/>
    <s v="Yes"/>
    <n v="20"/>
    <n v="10"/>
    <x v="2"/>
  </r>
  <r>
    <n v="3396"/>
    <x v="163"/>
    <x v="1"/>
    <x v="164"/>
    <x v="0"/>
    <n v="5"/>
    <x v="1"/>
    <s v="No"/>
    <x v="1"/>
    <s v="No"/>
    <n v="0"/>
    <n v="0"/>
    <x v="1"/>
  </r>
  <r>
    <n v="3397"/>
    <x v="90"/>
    <x v="0"/>
    <x v="165"/>
    <x v="1"/>
    <n v="15"/>
    <x v="0"/>
    <s v="Yes"/>
    <x v="0"/>
    <s v="Yes"/>
    <n v="20"/>
    <n v="20"/>
    <x v="8"/>
  </r>
  <r>
    <n v="3398"/>
    <x v="164"/>
    <x v="2"/>
    <x v="166"/>
    <x v="0"/>
    <n v="10"/>
    <x v="2"/>
    <s v="No"/>
    <x v="1"/>
    <s v="Yes"/>
    <n v="20"/>
    <n v="15"/>
    <x v="7"/>
  </r>
  <r>
    <n v="3399"/>
    <x v="165"/>
    <x v="1"/>
    <x v="167"/>
    <x v="1"/>
    <n v="5"/>
    <x v="0"/>
    <s v="No"/>
    <x v="1"/>
    <s v="No"/>
    <n v="0"/>
    <n v="1"/>
    <x v="4"/>
  </r>
  <r>
    <n v="3400"/>
    <x v="166"/>
    <x v="0"/>
    <x v="168"/>
    <x v="0"/>
    <n v="15"/>
    <x v="1"/>
    <s v="Yes"/>
    <x v="0"/>
    <s v="Yes"/>
    <n v="20"/>
    <n v="5"/>
    <x v="0"/>
  </r>
  <r>
    <n v="3401"/>
    <x v="167"/>
    <x v="2"/>
    <x v="169"/>
    <x v="1"/>
    <n v="10"/>
    <x v="0"/>
    <s v="No"/>
    <x v="1"/>
    <s v="Yes"/>
    <n v="20"/>
    <n v="10"/>
    <x v="2"/>
  </r>
  <r>
    <n v="3402"/>
    <x v="168"/>
    <x v="1"/>
    <x v="170"/>
    <x v="0"/>
    <n v="5"/>
    <x v="2"/>
    <s v="No"/>
    <x v="1"/>
    <s v="No"/>
    <n v="0"/>
    <n v="0"/>
    <x v="1"/>
  </r>
  <r>
    <n v="3403"/>
    <x v="169"/>
    <x v="0"/>
    <x v="171"/>
    <x v="1"/>
    <n v="15"/>
    <x v="0"/>
    <s v="Yes"/>
    <x v="0"/>
    <s v="Yes"/>
    <n v="20"/>
    <n v="3"/>
    <x v="3"/>
  </r>
  <r>
    <n v="3404"/>
    <x v="170"/>
    <x v="2"/>
    <x v="172"/>
    <x v="0"/>
    <n v="10"/>
    <x v="1"/>
    <s v="No"/>
    <x v="1"/>
    <s v="Yes"/>
    <n v="20"/>
    <n v="15"/>
    <x v="7"/>
  </r>
  <r>
    <n v="3405"/>
    <x v="171"/>
    <x v="1"/>
    <x v="173"/>
    <x v="1"/>
    <n v="5"/>
    <x v="0"/>
    <s v="No"/>
    <x v="1"/>
    <s v="No"/>
    <n v="0"/>
    <n v="1"/>
    <x v="4"/>
  </r>
  <r>
    <n v="3406"/>
    <x v="172"/>
    <x v="1"/>
    <x v="174"/>
    <x v="0"/>
    <n v="5"/>
    <x v="0"/>
    <s v="No"/>
    <x v="1"/>
    <s v="No"/>
    <n v="0"/>
    <n v="0"/>
    <x v="1"/>
  </r>
  <r>
    <n v="3407"/>
    <x v="173"/>
    <x v="0"/>
    <x v="175"/>
    <x v="1"/>
    <n v="15"/>
    <x v="2"/>
    <s v="Yes"/>
    <x v="0"/>
    <s v="Yes"/>
    <n v="20"/>
    <n v="7"/>
    <x v="12"/>
  </r>
  <r>
    <n v="3408"/>
    <x v="174"/>
    <x v="2"/>
    <x v="176"/>
    <x v="0"/>
    <n v="10"/>
    <x v="1"/>
    <s v="No"/>
    <x v="1"/>
    <s v="Yes"/>
    <n v="20"/>
    <n v="10"/>
    <x v="2"/>
  </r>
  <r>
    <n v="3409"/>
    <x v="175"/>
    <x v="1"/>
    <x v="177"/>
    <x v="1"/>
    <n v="5"/>
    <x v="2"/>
    <s v="No"/>
    <x v="1"/>
    <s v="No"/>
    <n v="0"/>
    <n v="1"/>
    <x v="4"/>
  </r>
  <r>
    <n v="3410"/>
    <x v="176"/>
    <x v="0"/>
    <x v="178"/>
    <x v="0"/>
    <n v="15"/>
    <x v="0"/>
    <s v="Yes"/>
    <x v="0"/>
    <s v="Yes"/>
    <n v="20"/>
    <n v="15"/>
    <x v="14"/>
  </r>
  <r>
    <n v="3411"/>
    <x v="177"/>
    <x v="2"/>
    <x v="179"/>
    <x v="1"/>
    <n v="10"/>
    <x v="0"/>
    <s v="No"/>
    <x v="1"/>
    <s v="Yes"/>
    <n v="20"/>
    <n v="5"/>
    <x v="13"/>
  </r>
  <r>
    <n v="3412"/>
    <x v="178"/>
    <x v="1"/>
    <x v="180"/>
    <x v="0"/>
    <n v="5"/>
    <x v="1"/>
    <s v="No"/>
    <x v="1"/>
    <s v="No"/>
    <n v="0"/>
    <n v="0"/>
    <x v="1"/>
  </r>
  <r>
    <n v="3413"/>
    <x v="179"/>
    <x v="0"/>
    <x v="181"/>
    <x v="1"/>
    <n v="15"/>
    <x v="2"/>
    <s v="Yes"/>
    <x v="0"/>
    <s v="Yes"/>
    <n v="20"/>
    <n v="20"/>
    <x v="8"/>
  </r>
  <r>
    <n v="3414"/>
    <x v="180"/>
    <x v="2"/>
    <x v="182"/>
    <x v="0"/>
    <n v="10"/>
    <x v="2"/>
    <s v="No"/>
    <x v="1"/>
    <s v="Yes"/>
    <n v="20"/>
    <n v="12"/>
    <x v="10"/>
  </r>
  <r>
    <n v="3415"/>
    <x v="181"/>
    <x v="1"/>
    <x v="183"/>
    <x v="1"/>
    <n v="5"/>
    <x v="0"/>
    <s v="No"/>
    <x v="1"/>
    <s v="No"/>
    <n v="0"/>
    <n v="2"/>
    <x v="11"/>
  </r>
  <r>
    <n v="3416"/>
    <x v="182"/>
    <x v="0"/>
    <x v="184"/>
    <x v="0"/>
    <n v="15"/>
    <x v="1"/>
    <s v="Yes"/>
    <x v="0"/>
    <s v="Yes"/>
    <n v="20"/>
    <n v="5"/>
    <x v="0"/>
  </r>
  <r>
    <n v="3417"/>
    <x v="183"/>
    <x v="2"/>
    <x v="185"/>
    <x v="1"/>
    <n v="10"/>
    <x v="0"/>
    <s v="No"/>
    <x v="1"/>
    <s v="Yes"/>
    <n v="20"/>
    <n v="10"/>
    <x v="2"/>
  </r>
  <r>
    <n v="3418"/>
    <x v="184"/>
    <x v="1"/>
    <x v="186"/>
    <x v="0"/>
    <n v="5"/>
    <x v="2"/>
    <s v="No"/>
    <x v="1"/>
    <s v="No"/>
    <n v="0"/>
    <n v="0"/>
    <x v="1"/>
  </r>
  <r>
    <n v="3419"/>
    <x v="185"/>
    <x v="0"/>
    <x v="187"/>
    <x v="1"/>
    <n v="15"/>
    <x v="0"/>
    <s v="Yes"/>
    <x v="0"/>
    <s v="Yes"/>
    <n v="20"/>
    <n v="3"/>
    <x v="3"/>
  </r>
  <r>
    <n v="3420"/>
    <x v="186"/>
    <x v="2"/>
    <x v="188"/>
    <x v="0"/>
    <n v="10"/>
    <x v="1"/>
    <s v="No"/>
    <x v="1"/>
    <s v="Yes"/>
    <n v="20"/>
    <n v="15"/>
    <x v="7"/>
  </r>
  <r>
    <n v="3421"/>
    <x v="15"/>
    <x v="1"/>
    <x v="189"/>
    <x v="1"/>
    <n v="5"/>
    <x v="0"/>
    <s v="No"/>
    <x v="1"/>
    <s v="No"/>
    <n v="0"/>
    <n v="1"/>
    <x v="4"/>
  </r>
  <r>
    <n v="3422"/>
    <x v="187"/>
    <x v="0"/>
    <x v="190"/>
    <x v="0"/>
    <n v="15"/>
    <x v="2"/>
    <s v="Yes"/>
    <x v="0"/>
    <s v="Yes"/>
    <n v="20"/>
    <n v="7"/>
    <x v="12"/>
  </r>
  <r>
    <n v="3423"/>
    <x v="188"/>
    <x v="2"/>
    <x v="191"/>
    <x v="1"/>
    <n v="10"/>
    <x v="0"/>
    <s v="No"/>
    <x v="1"/>
    <s v="Yes"/>
    <n v="20"/>
    <n v="10"/>
    <x v="2"/>
  </r>
  <r>
    <n v="3424"/>
    <x v="14"/>
    <x v="1"/>
    <x v="192"/>
    <x v="0"/>
    <n v="5"/>
    <x v="1"/>
    <s v="No"/>
    <x v="1"/>
    <s v="No"/>
    <n v="0"/>
    <n v="0"/>
    <x v="1"/>
  </r>
  <r>
    <n v="3425"/>
    <x v="189"/>
    <x v="0"/>
    <x v="193"/>
    <x v="1"/>
    <n v="15"/>
    <x v="0"/>
    <s v="Yes"/>
    <x v="0"/>
    <s v="Yes"/>
    <n v="20"/>
    <n v="20"/>
    <x v="8"/>
  </r>
  <r>
    <n v="3426"/>
    <x v="167"/>
    <x v="2"/>
    <x v="194"/>
    <x v="0"/>
    <n v="10"/>
    <x v="2"/>
    <s v="No"/>
    <x v="1"/>
    <s v="Yes"/>
    <n v="20"/>
    <n v="15"/>
    <x v="7"/>
  </r>
  <r>
    <n v="3427"/>
    <x v="190"/>
    <x v="1"/>
    <x v="195"/>
    <x v="1"/>
    <n v="5"/>
    <x v="0"/>
    <s v="No"/>
    <x v="1"/>
    <s v="No"/>
    <n v="0"/>
    <n v="1"/>
    <x v="4"/>
  </r>
  <r>
    <n v="3428"/>
    <x v="191"/>
    <x v="0"/>
    <x v="196"/>
    <x v="0"/>
    <n v="15"/>
    <x v="1"/>
    <s v="Yes"/>
    <x v="0"/>
    <s v="Yes"/>
    <n v="20"/>
    <n v="3"/>
    <x v="3"/>
  </r>
  <r>
    <n v="3429"/>
    <x v="192"/>
    <x v="2"/>
    <x v="197"/>
    <x v="1"/>
    <n v="10"/>
    <x v="0"/>
    <s v="No"/>
    <x v="1"/>
    <s v="Yes"/>
    <n v="20"/>
    <n v="10"/>
    <x v="2"/>
  </r>
  <r>
    <n v="3430"/>
    <x v="193"/>
    <x v="1"/>
    <x v="198"/>
    <x v="0"/>
    <n v="5"/>
    <x v="2"/>
    <s v="No"/>
    <x v="1"/>
    <s v="No"/>
    <n v="0"/>
    <n v="0"/>
    <x v="1"/>
  </r>
  <r>
    <n v="3431"/>
    <x v="194"/>
    <x v="0"/>
    <x v="199"/>
    <x v="1"/>
    <n v="15"/>
    <x v="0"/>
    <s v="Yes"/>
    <x v="0"/>
    <s v="Yes"/>
    <n v="20"/>
    <n v="15"/>
    <x v="14"/>
  </r>
  <r>
    <n v="3432"/>
    <x v="195"/>
    <x v="2"/>
    <x v="200"/>
    <x v="0"/>
    <n v="10"/>
    <x v="1"/>
    <s v="No"/>
    <x v="1"/>
    <s v="Yes"/>
    <n v="20"/>
    <n v="15"/>
    <x v="7"/>
  </r>
  <r>
    <n v="3433"/>
    <x v="196"/>
    <x v="1"/>
    <x v="201"/>
    <x v="1"/>
    <n v="5"/>
    <x v="0"/>
    <s v="No"/>
    <x v="1"/>
    <s v="No"/>
    <n v="0"/>
    <n v="1"/>
    <x v="4"/>
  </r>
  <r>
    <n v="3434"/>
    <x v="197"/>
    <x v="0"/>
    <x v="202"/>
    <x v="0"/>
    <n v="15"/>
    <x v="2"/>
    <s v="Yes"/>
    <x v="0"/>
    <s v="Yes"/>
    <n v="20"/>
    <n v="7"/>
    <x v="12"/>
  </r>
  <r>
    <n v="3435"/>
    <x v="198"/>
    <x v="2"/>
    <x v="203"/>
    <x v="1"/>
    <n v="10"/>
    <x v="0"/>
    <s v="No"/>
    <x v="1"/>
    <s v="Yes"/>
    <n v="20"/>
    <n v="10"/>
    <x v="2"/>
  </r>
  <r>
    <n v="3436"/>
    <x v="199"/>
    <x v="1"/>
    <x v="204"/>
    <x v="0"/>
    <n v="5"/>
    <x v="0"/>
    <s v="No"/>
    <x v="1"/>
    <s v="No"/>
    <n v="0"/>
    <n v="0"/>
    <x v="1"/>
  </r>
  <r>
    <n v="3437"/>
    <x v="200"/>
    <x v="0"/>
    <x v="205"/>
    <x v="1"/>
    <n v="15"/>
    <x v="2"/>
    <s v="Yes"/>
    <x v="0"/>
    <s v="Yes"/>
    <n v="20"/>
    <n v="7"/>
    <x v="12"/>
  </r>
  <r>
    <n v="3438"/>
    <x v="201"/>
    <x v="2"/>
    <x v="206"/>
    <x v="0"/>
    <n v="10"/>
    <x v="1"/>
    <s v="No"/>
    <x v="1"/>
    <s v="Yes"/>
    <n v="20"/>
    <n v="10"/>
    <x v="2"/>
  </r>
  <r>
    <n v="3439"/>
    <x v="202"/>
    <x v="1"/>
    <x v="207"/>
    <x v="1"/>
    <n v="5"/>
    <x v="2"/>
    <s v="No"/>
    <x v="1"/>
    <s v="No"/>
    <n v="0"/>
    <n v="1"/>
    <x v="4"/>
  </r>
  <r>
    <n v="3440"/>
    <x v="203"/>
    <x v="0"/>
    <x v="208"/>
    <x v="0"/>
    <n v="15"/>
    <x v="0"/>
    <s v="Yes"/>
    <x v="0"/>
    <s v="Yes"/>
    <n v="20"/>
    <n v="15"/>
    <x v="14"/>
  </r>
  <r>
    <n v="3441"/>
    <x v="204"/>
    <x v="2"/>
    <x v="209"/>
    <x v="1"/>
    <n v="10"/>
    <x v="0"/>
    <s v="No"/>
    <x v="1"/>
    <s v="Yes"/>
    <n v="20"/>
    <n v="5"/>
    <x v="13"/>
  </r>
  <r>
    <n v="3442"/>
    <x v="205"/>
    <x v="1"/>
    <x v="210"/>
    <x v="0"/>
    <n v="5"/>
    <x v="1"/>
    <s v="No"/>
    <x v="1"/>
    <s v="No"/>
    <n v="0"/>
    <n v="0"/>
    <x v="1"/>
  </r>
  <r>
    <n v="3443"/>
    <x v="206"/>
    <x v="0"/>
    <x v="211"/>
    <x v="1"/>
    <n v="15"/>
    <x v="2"/>
    <s v="Yes"/>
    <x v="0"/>
    <s v="Yes"/>
    <n v="20"/>
    <n v="20"/>
    <x v="8"/>
  </r>
  <r>
    <n v="3444"/>
    <x v="207"/>
    <x v="2"/>
    <x v="212"/>
    <x v="0"/>
    <n v="10"/>
    <x v="2"/>
    <s v="No"/>
    <x v="1"/>
    <s v="Yes"/>
    <n v="20"/>
    <n v="12"/>
    <x v="10"/>
  </r>
  <r>
    <n v="3445"/>
    <x v="37"/>
    <x v="1"/>
    <x v="213"/>
    <x v="1"/>
    <n v="5"/>
    <x v="0"/>
    <s v="No"/>
    <x v="1"/>
    <s v="No"/>
    <n v="0"/>
    <n v="2"/>
    <x v="11"/>
  </r>
  <r>
    <n v="3446"/>
    <x v="208"/>
    <x v="0"/>
    <x v="214"/>
    <x v="0"/>
    <n v="15"/>
    <x v="1"/>
    <s v="Yes"/>
    <x v="0"/>
    <s v="Yes"/>
    <n v="20"/>
    <n v="5"/>
    <x v="0"/>
  </r>
  <r>
    <n v="3447"/>
    <x v="209"/>
    <x v="2"/>
    <x v="215"/>
    <x v="1"/>
    <n v="10"/>
    <x v="0"/>
    <s v="No"/>
    <x v="1"/>
    <s v="Yes"/>
    <n v="20"/>
    <n v="10"/>
    <x v="2"/>
  </r>
  <r>
    <n v="3448"/>
    <x v="210"/>
    <x v="1"/>
    <x v="216"/>
    <x v="0"/>
    <n v="5"/>
    <x v="2"/>
    <s v="No"/>
    <x v="1"/>
    <s v="No"/>
    <n v="0"/>
    <n v="0"/>
    <x v="1"/>
  </r>
  <r>
    <n v="3449"/>
    <x v="211"/>
    <x v="0"/>
    <x v="217"/>
    <x v="1"/>
    <n v="15"/>
    <x v="0"/>
    <s v="Yes"/>
    <x v="0"/>
    <s v="Yes"/>
    <n v="20"/>
    <n v="3"/>
    <x v="3"/>
  </r>
  <r>
    <n v="3450"/>
    <x v="212"/>
    <x v="2"/>
    <x v="218"/>
    <x v="0"/>
    <n v="10"/>
    <x v="1"/>
    <s v="No"/>
    <x v="1"/>
    <s v="Yes"/>
    <n v="20"/>
    <n v="15"/>
    <x v="7"/>
  </r>
  <r>
    <n v="3451"/>
    <x v="213"/>
    <x v="1"/>
    <x v="219"/>
    <x v="1"/>
    <n v="5"/>
    <x v="0"/>
    <s v="No"/>
    <x v="1"/>
    <s v="No"/>
    <n v="0"/>
    <n v="1"/>
    <x v="4"/>
  </r>
  <r>
    <n v="3452"/>
    <x v="191"/>
    <x v="0"/>
    <x v="220"/>
    <x v="0"/>
    <n v="15"/>
    <x v="2"/>
    <s v="Yes"/>
    <x v="0"/>
    <s v="Yes"/>
    <n v="20"/>
    <n v="7"/>
    <x v="12"/>
  </r>
  <r>
    <n v="3453"/>
    <x v="45"/>
    <x v="2"/>
    <x v="221"/>
    <x v="1"/>
    <n v="10"/>
    <x v="0"/>
    <s v="No"/>
    <x v="1"/>
    <s v="Yes"/>
    <n v="20"/>
    <n v="10"/>
    <x v="2"/>
  </r>
  <r>
    <n v="3454"/>
    <x v="214"/>
    <x v="1"/>
    <x v="222"/>
    <x v="0"/>
    <n v="5"/>
    <x v="1"/>
    <s v="No"/>
    <x v="1"/>
    <s v="No"/>
    <n v="0"/>
    <n v="0"/>
    <x v="1"/>
  </r>
  <r>
    <n v="3455"/>
    <x v="215"/>
    <x v="0"/>
    <x v="223"/>
    <x v="1"/>
    <n v="15"/>
    <x v="0"/>
    <s v="Yes"/>
    <x v="0"/>
    <s v="Yes"/>
    <n v="20"/>
    <n v="20"/>
    <x v="8"/>
  </r>
  <r>
    <n v="3456"/>
    <x v="216"/>
    <x v="2"/>
    <x v="224"/>
    <x v="0"/>
    <n v="10"/>
    <x v="2"/>
    <s v="No"/>
    <x v="1"/>
    <s v="Yes"/>
    <n v="20"/>
    <n v="15"/>
    <x v="7"/>
  </r>
  <r>
    <n v="3457"/>
    <x v="217"/>
    <x v="1"/>
    <x v="225"/>
    <x v="1"/>
    <n v="5"/>
    <x v="0"/>
    <s v="No"/>
    <x v="1"/>
    <s v="No"/>
    <n v="0"/>
    <n v="1"/>
    <x v="4"/>
  </r>
  <r>
    <n v="3458"/>
    <x v="218"/>
    <x v="0"/>
    <x v="226"/>
    <x v="0"/>
    <n v="15"/>
    <x v="1"/>
    <s v="Yes"/>
    <x v="0"/>
    <s v="Yes"/>
    <n v="20"/>
    <n v="3"/>
    <x v="3"/>
  </r>
  <r>
    <n v="3459"/>
    <x v="219"/>
    <x v="2"/>
    <x v="227"/>
    <x v="1"/>
    <n v="10"/>
    <x v="0"/>
    <s v="No"/>
    <x v="1"/>
    <s v="Yes"/>
    <n v="20"/>
    <n v="10"/>
    <x v="2"/>
  </r>
  <r>
    <n v="3460"/>
    <x v="127"/>
    <x v="1"/>
    <x v="228"/>
    <x v="0"/>
    <n v="5"/>
    <x v="2"/>
    <s v="No"/>
    <x v="1"/>
    <s v="No"/>
    <n v="0"/>
    <n v="0"/>
    <x v="1"/>
  </r>
  <r>
    <n v="3461"/>
    <x v="220"/>
    <x v="0"/>
    <x v="229"/>
    <x v="1"/>
    <n v="15"/>
    <x v="0"/>
    <s v="Yes"/>
    <x v="0"/>
    <s v="Yes"/>
    <n v="20"/>
    <n v="15"/>
    <x v="14"/>
  </r>
  <r>
    <n v="3462"/>
    <x v="221"/>
    <x v="2"/>
    <x v="230"/>
    <x v="0"/>
    <n v="10"/>
    <x v="1"/>
    <s v="No"/>
    <x v="1"/>
    <s v="Yes"/>
    <n v="20"/>
    <n v="15"/>
    <x v="7"/>
  </r>
  <r>
    <n v="3463"/>
    <x v="222"/>
    <x v="1"/>
    <x v="231"/>
    <x v="1"/>
    <n v="5"/>
    <x v="0"/>
    <s v="No"/>
    <x v="1"/>
    <s v="No"/>
    <n v="0"/>
    <n v="1"/>
    <x v="4"/>
  </r>
  <r>
    <n v="3464"/>
    <x v="223"/>
    <x v="0"/>
    <x v="232"/>
    <x v="0"/>
    <n v="15"/>
    <x v="2"/>
    <s v="Yes"/>
    <x v="0"/>
    <s v="Yes"/>
    <n v="20"/>
    <n v="7"/>
    <x v="12"/>
  </r>
  <r>
    <n v="3465"/>
    <x v="224"/>
    <x v="2"/>
    <x v="233"/>
    <x v="1"/>
    <n v="10"/>
    <x v="0"/>
    <s v="No"/>
    <x v="1"/>
    <s v="Yes"/>
    <n v="20"/>
    <n v="10"/>
    <x v="2"/>
  </r>
  <r>
    <n v="3466"/>
    <x v="225"/>
    <x v="1"/>
    <x v="234"/>
    <x v="0"/>
    <n v="5"/>
    <x v="1"/>
    <s v="No"/>
    <x v="1"/>
    <s v="No"/>
    <n v="0"/>
    <n v="0"/>
    <x v="1"/>
  </r>
  <r>
    <n v="3467"/>
    <x v="226"/>
    <x v="0"/>
    <x v="235"/>
    <x v="1"/>
    <n v="15"/>
    <x v="0"/>
    <s v="Yes"/>
    <x v="0"/>
    <s v="Yes"/>
    <n v="20"/>
    <n v="15"/>
    <x v="14"/>
  </r>
  <r>
    <n v="3468"/>
    <x v="227"/>
    <x v="2"/>
    <x v="236"/>
    <x v="0"/>
    <n v="10"/>
    <x v="2"/>
    <s v="No"/>
    <x v="1"/>
    <s v="Yes"/>
    <n v="20"/>
    <n v="12"/>
    <x v="10"/>
  </r>
  <r>
    <n v="3469"/>
    <x v="228"/>
    <x v="1"/>
    <x v="237"/>
    <x v="1"/>
    <n v="5"/>
    <x v="0"/>
    <s v="No"/>
    <x v="1"/>
    <s v="No"/>
    <n v="0"/>
    <n v="2"/>
    <x v="11"/>
  </r>
  <r>
    <n v="3470"/>
    <x v="229"/>
    <x v="0"/>
    <x v="238"/>
    <x v="0"/>
    <n v="15"/>
    <x v="1"/>
    <s v="Yes"/>
    <x v="0"/>
    <s v="Yes"/>
    <n v="20"/>
    <n v="5"/>
    <x v="0"/>
  </r>
  <r>
    <n v="3471"/>
    <x v="230"/>
    <x v="2"/>
    <x v="239"/>
    <x v="1"/>
    <n v="10"/>
    <x v="0"/>
    <s v="No"/>
    <x v="1"/>
    <s v="Yes"/>
    <n v="20"/>
    <n v="10"/>
    <x v="2"/>
  </r>
  <r>
    <n v="3472"/>
    <x v="231"/>
    <x v="1"/>
    <x v="240"/>
    <x v="0"/>
    <n v="5"/>
    <x v="2"/>
    <s v="No"/>
    <x v="1"/>
    <s v="No"/>
    <n v="0"/>
    <n v="0"/>
    <x v="1"/>
  </r>
  <r>
    <n v="3473"/>
    <x v="140"/>
    <x v="0"/>
    <x v="241"/>
    <x v="1"/>
    <n v="15"/>
    <x v="0"/>
    <s v="Yes"/>
    <x v="0"/>
    <s v="Yes"/>
    <n v="20"/>
    <n v="3"/>
    <x v="3"/>
  </r>
  <r>
    <n v="3474"/>
    <x v="232"/>
    <x v="2"/>
    <x v="242"/>
    <x v="0"/>
    <n v="10"/>
    <x v="1"/>
    <s v="No"/>
    <x v="1"/>
    <s v="Yes"/>
    <n v="20"/>
    <n v="15"/>
    <x v="7"/>
  </r>
  <r>
    <n v="3475"/>
    <x v="233"/>
    <x v="1"/>
    <x v="243"/>
    <x v="1"/>
    <n v="5"/>
    <x v="0"/>
    <s v="No"/>
    <x v="1"/>
    <s v="No"/>
    <n v="0"/>
    <n v="1"/>
    <x v="4"/>
  </r>
  <r>
    <n v="3476"/>
    <x v="234"/>
    <x v="0"/>
    <x v="244"/>
    <x v="0"/>
    <n v="15"/>
    <x v="2"/>
    <s v="Yes"/>
    <x v="0"/>
    <s v="Yes"/>
    <n v="20"/>
    <n v="7"/>
    <x v="12"/>
  </r>
  <r>
    <n v="3477"/>
    <x v="235"/>
    <x v="2"/>
    <x v="245"/>
    <x v="1"/>
    <n v="10"/>
    <x v="0"/>
    <s v="No"/>
    <x v="1"/>
    <s v="Yes"/>
    <n v="20"/>
    <n v="10"/>
    <x v="2"/>
  </r>
  <r>
    <n v="3478"/>
    <x v="236"/>
    <x v="1"/>
    <x v="246"/>
    <x v="0"/>
    <n v="5"/>
    <x v="1"/>
    <s v="No"/>
    <x v="1"/>
    <s v="No"/>
    <n v="0"/>
    <n v="0"/>
    <x v="1"/>
  </r>
  <r>
    <n v="3479"/>
    <x v="237"/>
    <x v="0"/>
    <x v="247"/>
    <x v="1"/>
    <n v="15"/>
    <x v="0"/>
    <s v="Yes"/>
    <x v="0"/>
    <s v="Yes"/>
    <n v="20"/>
    <n v="20"/>
    <x v="8"/>
  </r>
  <r>
    <n v="3480"/>
    <x v="238"/>
    <x v="2"/>
    <x v="248"/>
    <x v="0"/>
    <n v="10"/>
    <x v="2"/>
    <s v="No"/>
    <x v="1"/>
    <s v="Yes"/>
    <n v="20"/>
    <n v="15"/>
    <x v="7"/>
  </r>
  <r>
    <n v="3481"/>
    <x v="239"/>
    <x v="1"/>
    <x v="249"/>
    <x v="1"/>
    <n v="5"/>
    <x v="0"/>
    <s v="No"/>
    <x v="1"/>
    <s v="No"/>
    <n v="0"/>
    <n v="1"/>
    <x v="4"/>
  </r>
  <r>
    <n v="3482"/>
    <x v="240"/>
    <x v="0"/>
    <x v="250"/>
    <x v="0"/>
    <n v="15"/>
    <x v="1"/>
    <s v="Yes"/>
    <x v="0"/>
    <s v="Yes"/>
    <n v="20"/>
    <n v="3"/>
    <x v="3"/>
  </r>
  <r>
    <n v="3483"/>
    <x v="241"/>
    <x v="2"/>
    <x v="251"/>
    <x v="1"/>
    <n v="10"/>
    <x v="0"/>
    <s v="No"/>
    <x v="1"/>
    <s v="Yes"/>
    <n v="20"/>
    <n v="10"/>
    <x v="2"/>
  </r>
  <r>
    <n v="3484"/>
    <x v="242"/>
    <x v="1"/>
    <x v="252"/>
    <x v="0"/>
    <n v="5"/>
    <x v="2"/>
    <s v="No"/>
    <x v="1"/>
    <s v="No"/>
    <n v="0"/>
    <n v="0"/>
    <x v="1"/>
  </r>
  <r>
    <n v="3485"/>
    <x v="243"/>
    <x v="0"/>
    <x v="253"/>
    <x v="1"/>
    <n v="15"/>
    <x v="0"/>
    <s v="Yes"/>
    <x v="0"/>
    <s v="Yes"/>
    <n v="20"/>
    <n v="15"/>
    <x v="14"/>
  </r>
  <r>
    <n v="3486"/>
    <x v="244"/>
    <x v="1"/>
    <x v="254"/>
    <x v="0"/>
    <n v="5"/>
    <x v="0"/>
    <s v="No"/>
    <x v="1"/>
    <s v="No"/>
    <n v="0"/>
    <n v="0"/>
    <x v="1"/>
  </r>
  <r>
    <n v="3487"/>
    <x v="245"/>
    <x v="0"/>
    <x v="255"/>
    <x v="1"/>
    <n v="15"/>
    <x v="2"/>
    <s v="Yes"/>
    <x v="0"/>
    <s v="Yes"/>
    <n v="20"/>
    <n v="7"/>
    <x v="12"/>
  </r>
  <r>
    <n v="3488"/>
    <x v="246"/>
    <x v="2"/>
    <x v="256"/>
    <x v="0"/>
    <n v="10"/>
    <x v="1"/>
    <s v="No"/>
    <x v="1"/>
    <s v="Yes"/>
    <n v="20"/>
    <n v="10"/>
    <x v="2"/>
  </r>
  <r>
    <n v="3489"/>
    <x v="247"/>
    <x v="1"/>
    <x v="257"/>
    <x v="1"/>
    <n v="5"/>
    <x v="2"/>
    <s v="No"/>
    <x v="1"/>
    <s v="No"/>
    <n v="0"/>
    <n v="1"/>
    <x v="4"/>
  </r>
  <r>
    <n v="3490"/>
    <x v="248"/>
    <x v="0"/>
    <x v="258"/>
    <x v="0"/>
    <n v="15"/>
    <x v="0"/>
    <s v="Yes"/>
    <x v="0"/>
    <s v="Yes"/>
    <n v="20"/>
    <n v="15"/>
    <x v="14"/>
  </r>
  <r>
    <n v="3491"/>
    <x v="249"/>
    <x v="2"/>
    <x v="259"/>
    <x v="1"/>
    <n v="10"/>
    <x v="0"/>
    <s v="No"/>
    <x v="1"/>
    <s v="Yes"/>
    <n v="20"/>
    <n v="5"/>
    <x v="13"/>
  </r>
  <r>
    <n v="3492"/>
    <x v="250"/>
    <x v="1"/>
    <x v="260"/>
    <x v="0"/>
    <n v="5"/>
    <x v="1"/>
    <s v="No"/>
    <x v="1"/>
    <s v="No"/>
    <n v="0"/>
    <n v="0"/>
    <x v="1"/>
  </r>
  <r>
    <n v="3493"/>
    <x v="251"/>
    <x v="0"/>
    <x v="261"/>
    <x v="1"/>
    <n v="15"/>
    <x v="2"/>
    <s v="Yes"/>
    <x v="0"/>
    <s v="Yes"/>
    <n v="20"/>
    <n v="20"/>
    <x v="8"/>
  </r>
  <r>
    <n v="3494"/>
    <x v="252"/>
    <x v="2"/>
    <x v="262"/>
    <x v="0"/>
    <n v="10"/>
    <x v="2"/>
    <s v="No"/>
    <x v="1"/>
    <s v="Yes"/>
    <n v="20"/>
    <n v="12"/>
    <x v="10"/>
  </r>
  <r>
    <n v="3495"/>
    <x v="253"/>
    <x v="1"/>
    <x v="263"/>
    <x v="1"/>
    <n v="5"/>
    <x v="0"/>
    <s v="No"/>
    <x v="1"/>
    <s v="No"/>
    <n v="0"/>
    <n v="2"/>
    <x v="11"/>
  </r>
  <r>
    <n v="3496"/>
    <x v="254"/>
    <x v="0"/>
    <x v="264"/>
    <x v="0"/>
    <n v="15"/>
    <x v="1"/>
    <s v="Yes"/>
    <x v="0"/>
    <s v="Yes"/>
    <n v="20"/>
    <n v="5"/>
    <x v="0"/>
  </r>
  <r>
    <n v="3497"/>
    <x v="255"/>
    <x v="2"/>
    <x v="265"/>
    <x v="1"/>
    <n v="10"/>
    <x v="0"/>
    <s v="No"/>
    <x v="1"/>
    <s v="Yes"/>
    <n v="20"/>
    <n v="10"/>
    <x v="2"/>
  </r>
  <r>
    <n v="3498"/>
    <x v="256"/>
    <x v="1"/>
    <x v="266"/>
    <x v="0"/>
    <n v="5"/>
    <x v="2"/>
    <s v="No"/>
    <x v="1"/>
    <s v="No"/>
    <n v="0"/>
    <n v="0"/>
    <x v="1"/>
  </r>
  <r>
    <n v="3499"/>
    <x v="257"/>
    <x v="0"/>
    <x v="267"/>
    <x v="1"/>
    <n v="15"/>
    <x v="0"/>
    <s v="Yes"/>
    <x v="0"/>
    <s v="Yes"/>
    <n v="20"/>
    <n v="3"/>
    <x v="3"/>
  </r>
  <r>
    <n v="3500"/>
    <x v="258"/>
    <x v="2"/>
    <x v="268"/>
    <x v="0"/>
    <n v="10"/>
    <x v="1"/>
    <s v="No"/>
    <x v="1"/>
    <s v="Yes"/>
    <n v="20"/>
    <n v="15"/>
    <x v="7"/>
  </r>
  <r>
    <n v="3501"/>
    <x v="259"/>
    <x v="1"/>
    <x v="269"/>
    <x v="1"/>
    <n v="5"/>
    <x v="0"/>
    <s v="No"/>
    <x v="1"/>
    <s v="No"/>
    <n v="0"/>
    <n v="1"/>
    <x v="4"/>
  </r>
  <r>
    <n v="3502"/>
    <x v="260"/>
    <x v="0"/>
    <x v="270"/>
    <x v="0"/>
    <n v="15"/>
    <x v="2"/>
    <s v="Yes"/>
    <x v="0"/>
    <s v="Yes"/>
    <n v="20"/>
    <n v="7"/>
    <x v="12"/>
  </r>
  <r>
    <n v="3503"/>
    <x v="119"/>
    <x v="2"/>
    <x v="271"/>
    <x v="1"/>
    <n v="10"/>
    <x v="0"/>
    <s v="No"/>
    <x v="1"/>
    <s v="Yes"/>
    <n v="20"/>
    <n v="10"/>
    <x v="2"/>
  </r>
  <r>
    <n v="3504"/>
    <x v="261"/>
    <x v="1"/>
    <x v="272"/>
    <x v="0"/>
    <n v="5"/>
    <x v="1"/>
    <s v="No"/>
    <x v="1"/>
    <s v="No"/>
    <n v="0"/>
    <n v="0"/>
    <x v="1"/>
  </r>
  <r>
    <n v="3505"/>
    <x v="262"/>
    <x v="0"/>
    <x v="273"/>
    <x v="1"/>
    <n v="15"/>
    <x v="0"/>
    <s v="Yes"/>
    <x v="0"/>
    <s v="Yes"/>
    <n v="20"/>
    <n v="20"/>
    <x v="8"/>
  </r>
  <r>
    <n v="3506"/>
    <x v="263"/>
    <x v="2"/>
    <x v="274"/>
    <x v="0"/>
    <n v="10"/>
    <x v="2"/>
    <s v="No"/>
    <x v="1"/>
    <s v="Yes"/>
    <n v="20"/>
    <n v="15"/>
    <x v="7"/>
  </r>
  <r>
    <n v="3507"/>
    <x v="264"/>
    <x v="1"/>
    <x v="275"/>
    <x v="1"/>
    <n v="5"/>
    <x v="0"/>
    <s v="No"/>
    <x v="1"/>
    <s v="No"/>
    <n v="0"/>
    <n v="1"/>
    <x v="4"/>
  </r>
  <r>
    <n v="3508"/>
    <x v="265"/>
    <x v="0"/>
    <x v="276"/>
    <x v="0"/>
    <n v="15"/>
    <x v="1"/>
    <s v="Yes"/>
    <x v="0"/>
    <s v="Yes"/>
    <n v="20"/>
    <n v="3"/>
    <x v="3"/>
  </r>
  <r>
    <n v="3509"/>
    <x v="266"/>
    <x v="2"/>
    <x v="277"/>
    <x v="1"/>
    <n v="10"/>
    <x v="0"/>
    <s v="No"/>
    <x v="1"/>
    <s v="Yes"/>
    <n v="20"/>
    <n v="10"/>
    <x v="2"/>
  </r>
  <r>
    <n v="3510"/>
    <x v="267"/>
    <x v="1"/>
    <x v="278"/>
    <x v="0"/>
    <n v="5"/>
    <x v="2"/>
    <s v="No"/>
    <x v="1"/>
    <s v="No"/>
    <n v="0"/>
    <n v="0"/>
    <x v="1"/>
  </r>
  <r>
    <n v="3511"/>
    <x v="268"/>
    <x v="0"/>
    <x v="279"/>
    <x v="1"/>
    <n v="15"/>
    <x v="0"/>
    <s v="Yes"/>
    <x v="0"/>
    <s v="Yes"/>
    <n v="20"/>
    <n v="15"/>
    <x v="14"/>
  </r>
  <r>
    <n v="3512"/>
    <x v="269"/>
    <x v="2"/>
    <x v="280"/>
    <x v="0"/>
    <n v="10"/>
    <x v="1"/>
    <s v="No"/>
    <x v="1"/>
    <s v="Yes"/>
    <n v="20"/>
    <n v="15"/>
    <x v="7"/>
  </r>
  <r>
    <n v="3513"/>
    <x v="270"/>
    <x v="1"/>
    <x v="281"/>
    <x v="1"/>
    <n v="5"/>
    <x v="0"/>
    <s v="No"/>
    <x v="1"/>
    <s v="No"/>
    <n v="0"/>
    <n v="1"/>
    <x v="4"/>
  </r>
  <r>
    <n v="3514"/>
    <x v="271"/>
    <x v="0"/>
    <x v="282"/>
    <x v="0"/>
    <n v="15"/>
    <x v="2"/>
    <s v="Yes"/>
    <x v="0"/>
    <s v="Yes"/>
    <n v="20"/>
    <n v="7"/>
    <x v="12"/>
  </r>
  <r>
    <n v="3515"/>
    <x v="130"/>
    <x v="2"/>
    <x v="283"/>
    <x v="1"/>
    <n v="10"/>
    <x v="0"/>
    <s v="No"/>
    <x v="1"/>
    <s v="Yes"/>
    <n v="20"/>
    <n v="10"/>
    <x v="2"/>
  </r>
  <r>
    <n v="3516"/>
    <x v="131"/>
    <x v="1"/>
    <x v="284"/>
    <x v="0"/>
    <n v="5"/>
    <x v="1"/>
    <s v="No"/>
    <x v="1"/>
    <s v="No"/>
    <n v="0"/>
    <n v="0"/>
    <x v="1"/>
  </r>
  <r>
    <n v="3517"/>
    <x v="181"/>
    <x v="0"/>
    <x v="285"/>
    <x v="1"/>
    <n v="15"/>
    <x v="0"/>
    <s v="Yes"/>
    <x v="0"/>
    <s v="Yes"/>
    <n v="20"/>
    <n v="20"/>
    <x v="8"/>
  </r>
  <r>
    <n v="3518"/>
    <x v="272"/>
    <x v="2"/>
    <x v="286"/>
    <x v="0"/>
    <n v="10"/>
    <x v="2"/>
    <s v="No"/>
    <x v="1"/>
    <s v="Yes"/>
    <n v="20"/>
    <n v="12"/>
    <x v="10"/>
  </r>
  <r>
    <n v="3519"/>
    <x v="273"/>
    <x v="1"/>
    <x v="287"/>
    <x v="1"/>
    <n v="5"/>
    <x v="0"/>
    <s v="No"/>
    <x v="1"/>
    <s v="No"/>
    <n v="0"/>
    <n v="2"/>
    <x v="11"/>
  </r>
  <r>
    <n v="3520"/>
    <x v="274"/>
    <x v="0"/>
    <x v="288"/>
    <x v="0"/>
    <n v="15"/>
    <x v="1"/>
    <s v="Yes"/>
    <x v="0"/>
    <s v="Yes"/>
    <n v="20"/>
    <n v="5"/>
    <x v="0"/>
  </r>
  <r>
    <n v="3521"/>
    <x v="275"/>
    <x v="2"/>
    <x v="289"/>
    <x v="1"/>
    <n v="10"/>
    <x v="0"/>
    <s v="No"/>
    <x v="1"/>
    <s v="Yes"/>
    <n v="20"/>
    <n v="10"/>
    <x v="2"/>
  </r>
  <r>
    <n v="3522"/>
    <x v="276"/>
    <x v="1"/>
    <x v="290"/>
    <x v="0"/>
    <n v="5"/>
    <x v="2"/>
    <s v="No"/>
    <x v="1"/>
    <s v="No"/>
    <n v="0"/>
    <n v="0"/>
    <x v="1"/>
  </r>
  <r>
    <n v="3523"/>
    <x v="277"/>
    <x v="0"/>
    <x v="291"/>
    <x v="1"/>
    <n v="15"/>
    <x v="0"/>
    <s v="Yes"/>
    <x v="0"/>
    <s v="Yes"/>
    <n v="20"/>
    <n v="3"/>
    <x v="3"/>
  </r>
  <r>
    <n v="3524"/>
    <x v="278"/>
    <x v="2"/>
    <x v="292"/>
    <x v="0"/>
    <n v="10"/>
    <x v="1"/>
    <s v="No"/>
    <x v="1"/>
    <s v="Yes"/>
    <n v="20"/>
    <n v="15"/>
    <x v="7"/>
  </r>
  <r>
    <n v="3525"/>
    <x v="279"/>
    <x v="1"/>
    <x v="293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8D669-C1C2-4146-9AAC-A662C8525026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53:C57" firstHeaderRow="1" firstDataRow="1" firstDataCol="1" rowPageCount="1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7E1BA-49FF-49E1-8BA4-B73E83E496FE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39:C43" firstHeaderRow="1" firstDataRow="1" firstDataCol="1" rowPageCount="1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oma de EA Play Season Pass" fld="8" baseField="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457FF-EB05-4C77-BDFD-FA320B1838DE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19:C32" firstHeaderRow="1" firstDataRow="1" firstDataCol="1" rowPageCount="1" colPageCount="1"/>
  <pivotFields count="15">
    <pivotField dataField="1" showAll="0"/>
    <pivotField showAll="0"/>
    <pivotField axis="axisPage" showAll="0">
      <items count="4">
        <item x="1"/>
        <item x="2"/>
        <item x="0"/>
        <item t="default"/>
      </items>
    </pivotField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2" hier="-1"/>
  </pageFields>
  <dataFields count="1">
    <dataField name="Contagem de Subscriber ID" fld="0" subtotal="count" baseField="14" baseItem="8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EAB1A-3BE2-4D44-A215-B0390FE04C0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7:C11" firstHeaderRow="1" firstDataRow="1" firstDataCol="1" rowPageCount="1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oma de Total Value" fld="12" baseField="0" baseItem="0" numFmtId="44"/>
  </dataField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1B492D56-0389-4997-9C6A-F8BE20D55350}" sourceName="Plan">
  <pivotTables>
    <pivotTable tabId="3" name="Tabela dinâmica1"/>
    <pivotTable tabId="3" name="Tabela dinâmica6"/>
    <pivotTable tabId="3" name="Tabela dinâmica7"/>
    <pivotTable tabId="3" name="Tabela dinâmica8"/>
  </pivotTables>
  <data>
    <tabular pivotCacheId="1694142220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E264FD38-F860-4781-A111-831F5B8EFE6D}" cache="SegmentaçãodeDados_Plan" caption="Plan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J10" sqref="J10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J10" sqref="J10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57"/>
  <sheetViews>
    <sheetView showGridLines="0" topLeftCell="A40" workbookViewId="0">
      <selection activeCell="J10" sqref="J10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11.88671875" bestFit="1" customWidth="1"/>
    <col min="6" max="6" width="6" bestFit="1" customWidth="1"/>
    <col min="7" max="13" width="7" bestFit="1" customWidth="1"/>
    <col min="14" max="14" width="6" bestFit="1" customWidth="1"/>
    <col min="15" max="15" width="10" bestFit="1" customWidth="1"/>
    <col min="16" max="296" width="10.33203125" bestFit="1" customWidth="1"/>
    <col min="297" max="297" width="11.88671875" bestFit="1" customWidth="1"/>
  </cols>
  <sheetData>
    <row r="2" spans="2:3" x14ac:dyDescent="0.3">
      <c r="B2" t="s">
        <v>331</v>
      </c>
    </row>
    <row r="5" spans="2:3" x14ac:dyDescent="0.3">
      <c r="B5" s="12" t="s">
        <v>13</v>
      </c>
      <c r="C5" t="s">
        <v>335</v>
      </c>
    </row>
    <row r="7" spans="2:3" x14ac:dyDescent="0.3">
      <c r="B7" s="12" t="s">
        <v>313</v>
      </c>
      <c r="C7" t="s">
        <v>315</v>
      </c>
    </row>
    <row r="8" spans="2:3" x14ac:dyDescent="0.3">
      <c r="B8" s="13" t="s">
        <v>24</v>
      </c>
      <c r="C8" s="14">
        <v>1754</v>
      </c>
    </row>
    <row r="9" spans="2:3" x14ac:dyDescent="0.3">
      <c r="B9" s="13" t="s">
        <v>20</v>
      </c>
      <c r="C9" s="14">
        <v>3571</v>
      </c>
    </row>
    <row r="10" spans="2:3" x14ac:dyDescent="0.3">
      <c r="B10" s="13" t="s">
        <v>27</v>
      </c>
      <c r="C10" s="14">
        <v>2308</v>
      </c>
    </row>
    <row r="11" spans="2:3" x14ac:dyDescent="0.3">
      <c r="B11" s="13" t="s">
        <v>314</v>
      </c>
      <c r="C11" s="14">
        <v>7633</v>
      </c>
    </row>
    <row r="15" spans="2:3" x14ac:dyDescent="0.3">
      <c r="B15" s="15" t="s">
        <v>332</v>
      </c>
    </row>
    <row r="17" spans="2:3" x14ac:dyDescent="0.3">
      <c r="B17" s="12" t="s">
        <v>13</v>
      </c>
      <c r="C17" t="s">
        <v>335</v>
      </c>
    </row>
    <row r="19" spans="2:3" x14ac:dyDescent="0.3">
      <c r="B19" s="12" t="s">
        <v>313</v>
      </c>
      <c r="C19" t="s">
        <v>327</v>
      </c>
    </row>
    <row r="20" spans="2:3" x14ac:dyDescent="0.3">
      <c r="B20" s="13" t="s">
        <v>316</v>
      </c>
      <c r="C20" s="20">
        <v>2</v>
      </c>
    </row>
    <row r="21" spans="2:3" x14ac:dyDescent="0.3">
      <c r="B21" s="13" t="s">
        <v>336</v>
      </c>
      <c r="C21" s="20">
        <v>2</v>
      </c>
    </row>
    <row r="22" spans="2:3" x14ac:dyDescent="0.3">
      <c r="B22" s="13" t="s">
        <v>319</v>
      </c>
      <c r="C22" s="20">
        <v>31</v>
      </c>
    </row>
    <row r="23" spans="2:3" x14ac:dyDescent="0.3">
      <c r="B23" s="13" t="s">
        <v>320</v>
      </c>
      <c r="C23" s="20">
        <v>30</v>
      </c>
    </row>
    <row r="24" spans="2:3" x14ac:dyDescent="0.3">
      <c r="B24" s="13" t="s">
        <v>317</v>
      </c>
      <c r="C24" s="20">
        <v>31</v>
      </c>
    </row>
    <row r="25" spans="2:3" x14ac:dyDescent="0.3">
      <c r="B25" s="13" t="s">
        <v>318</v>
      </c>
      <c r="C25" s="20">
        <v>30</v>
      </c>
    </row>
    <row r="26" spans="2:3" x14ac:dyDescent="0.3">
      <c r="B26" s="13" t="s">
        <v>321</v>
      </c>
      <c r="C26" s="20">
        <v>31</v>
      </c>
    </row>
    <row r="27" spans="2:3" x14ac:dyDescent="0.3">
      <c r="B27" s="13" t="s">
        <v>322</v>
      </c>
      <c r="C27" s="20">
        <v>31</v>
      </c>
    </row>
    <row r="28" spans="2:3" x14ac:dyDescent="0.3">
      <c r="B28" s="13" t="s">
        <v>323</v>
      </c>
      <c r="C28" s="20">
        <v>30</v>
      </c>
    </row>
    <row r="29" spans="2:3" x14ac:dyDescent="0.3">
      <c r="B29" s="13" t="s">
        <v>324</v>
      </c>
      <c r="C29" s="20">
        <v>31</v>
      </c>
    </row>
    <row r="30" spans="2:3" x14ac:dyDescent="0.3">
      <c r="B30" s="13" t="s">
        <v>325</v>
      </c>
      <c r="C30" s="20">
        <v>30</v>
      </c>
    </row>
    <row r="31" spans="2:3" x14ac:dyDescent="0.3">
      <c r="B31" s="13" t="s">
        <v>326</v>
      </c>
      <c r="C31" s="20">
        <v>16</v>
      </c>
    </row>
    <row r="32" spans="2:3" x14ac:dyDescent="0.3">
      <c r="B32" s="13" t="s">
        <v>314</v>
      </c>
      <c r="C32" s="20">
        <v>295</v>
      </c>
    </row>
    <row r="33" spans="2:5" x14ac:dyDescent="0.3">
      <c r="E33" s="19"/>
    </row>
    <row r="34" spans="2:5" x14ac:dyDescent="0.3">
      <c r="B34" s="15" t="s">
        <v>333</v>
      </c>
    </row>
    <row r="37" spans="2:5" x14ac:dyDescent="0.3">
      <c r="B37" s="12" t="s">
        <v>13</v>
      </c>
      <c r="C37" t="s">
        <v>335</v>
      </c>
    </row>
    <row r="39" spans="2:5" x14ac:dyDescent="0.3">
      <c r="B39" s="12" t="s">
        <v>313</v>
      </c>
      <c r="C39" t="s">
        <v>329</v>
      </c>
    </row>
    <row r="40" spans="2:5" x14ac:dyDescent="0.3">
      <c r="B40" s="13" t="s">
        <v>24</v>
      </c>
      <c r="C40" s="20">
        <v>600</v>
      </c>
    </row>
    <row r="41" spans="2:5" x14ac:dyDescent="0.3">
      <c r="B41" s="13" t="s">
        <v>20</v>
      </c>
      <c r="C41" s="20">
        <v>1350</v>
      </c>
      <c r="E41" s="19"/>
    </row>
    <row r="42" spans="2:5" x14ac:dyDescent="0.3">
      <c r="B42" s="13" t="s">
        <v>27</v>
      </c>
      <c r="C42" s="20">
        <v>990</v>
      </c>
    </row>
    <row r="43" spans="2:5" x14ac:dyDescent="0.3">
      <c r="B43" s="13" t="s">
        <v>314</v>
      </c>
      <c r="C43" s="20">
        <v>2940</v>
      </c>
      <c r="E43" s="19">
        <f>GETPIVOTDATA("EA Play Season Pass
Price",$B$39)</f>
        <v>2940</v>
      </c>
    </row>
    <row r="48" spans="2:5" x14ac:dyDescent="0.3">
      <c r="B48" s="15" t="s">
        <v>334</v>
      </c>
    </row>
    <row r="51" spans="2:5" x14ac:dyDescent="0.3">
      <c r="B51" s="12" t="s">
        <v>13</v>
      </c>
      <c r="C51" t="s">
        <v>335</v>
      </c>
    </row>
    <row r="53" spans="2:5" x14ac:dyDescent="0.3">
      <c r="B53" s="12" t="s">
        <v>313</v>
      </c>
      <c r="C53" t="s">
        <v>330</v>
      </c>
    </row>
    <row r="54" spans="2:5" x14ac:dyDescent="0.3">
      <c r="B54" s="13" t="s">
        <v>24</v>
      </c>
      <c r="C54" s="14">
        <v>940</v>
      </c>
    </row>
    <row r="55" spans="2:5" x14ac:dyDescent="0.3">
      <c r="B55" s="13" t="s">
        <v>20</v>
      </c>
      <c r="C55" s="14">
        <v>1800</v>
      </c>
      <c r="E55" s="19"/>
    </row>
    <row r="56" spans="2:5" x14ac:dyDescent="0.3">
      <c r="B56" s="13" t="s">
        <v>27</v>
      </c>
      <c r="C56" s="14">
        <v>1140</v>
      </c>
    </row>
    <row r="57" spans="2:5" x14ac:dyDescent="0.3">
      <c r="B57" s="13" t="s">
        <v>314</v>
      </c>
      <c r="C57" s="14">
        <v>3880</v>
      </c>
      <c r="E57" s="19">
        <f>GETPIVOTDATA("Minecraft Season Pass Price",$B$53)</f>
        <v>3880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36"/>
  <sheetViews>
    <sheetView showGridLines="0" showRowColHeaders="0" tabSelected="1" zoomScale="90" zoomScaleNormal="90" workbookViewId="0">
      <selection activeCell="U37" sqref="U37"/>
    </sheetView>
  </sheetViews>
  <sheetFormatPr defaultRowHeight="14.4" x14ac:dyDescent="0.3"/>
  <cols>
    <col min="1" max="1" width="20" customWidth="1"/>
    <col min="2" max="2" width="3.5546875" customWidth="1"/>
    <col min="12" max="12" width="6.5546875" customWidth="1"/>
  </cols>
  <sheetData>
    <row r="1" spans="1:19" x14ac:dyDescent="0.3">
      <c r="A1" s="4"/>
    </row>
    <row r="2" spans="1:19" ht="39" customHeight="1" thickBot="1" x14ac:dyDescent="0.6">
      <c r="A2" s="4"/>
      <c r="C2" s="16" t="s">
        <v>328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8"/>
    </row>
    <row r="3" spans="1:19" ht="8.25" customHeight="1" thickTop="1" x14ac:dyDescent="0.3">
      <c r="A3" s="4"/>
    </row>
    <row r="4" spans="1:19" ht="7.5" customHeight="1" x14ac:dyDescent="0.3">
      <c r="A4" s="4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0.5" customHeight="1" x14ac:dyDescent="0.3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9.75" customHeight="1" x14ac:dyDescent="0.3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33" customHeight="1" x14ac:dyDescent="0.3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3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3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3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3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3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3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3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3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3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3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3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3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3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3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3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3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3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3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3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3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3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3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3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x14ac:dyDescent="0.3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3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3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3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x14ac:dyDescent="0.3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x14ac:dyDescent="0.3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x14ac:dyDescent="0.3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3">
      <c r="A39" s="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x14ac:dyDescent="0.3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3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x14ac:dyDescent="0.3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3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x14ac:dyDescent="0.3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3">
      <c r="A45" s="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x14ac:dyDescent="0.3">
      <c r="A46" s="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x14ac:dyDescent="0.3">
      <c r="A47" s="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x14ac:dyDescent="0.3">
      <c r="A48" s="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x14ac:dyDescent="0.3">
      <c r="A49" s="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3">
      <c r="A50" s="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x14ac:dyDescent="0.3">
      <c r="A51" s="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3">
      <c r="A52" s="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x14ac:dyDescent="0.3">
      <c r="A53" s="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x14ac:dyDescent="0.3">
      <c r="A54" s="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3">
      <c r="A55" s="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x14ac:dyDescent="0.3">
      <c r="A56" s="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3">
      <c r="A57" s="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x14ac:dyDescent="0.3">
      <c r="A58" s="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x14ac:dyDescent="0.3">
      <c r="A59" s="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x14ac:dyDescent="0.3">
      <c r="A60" s="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x14ac:dyDescent="0.3">
      <c r="A61" s="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x14ac:dyDescent="0.3">
      <c r="A62" s="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x14ac:dyDescent="0.3">
      <c r="A63" s="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x14ac:dyDescent="0.3">
      <c r="A64" s="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x14ac:dyDescent="0.3">
      <c r="A65" s="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x14ac:dyDescent="0.3">
      <c r="A66" s="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x14ac:dyDescent="0.3">
      <c r="A67" s="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x14ac:dyDescent="0.3">
      <c r="A68" s="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x14ac:dyDescent="0.3">
      <c r="A69" s="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x14ac:dyDescent="0.3">
      <c r="A70" s="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x14ac:dyDescent="0.3">
      <c r="A71" s="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 x14ac:dyDescent="0.3">
      <c r="A72" s="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x14ac:dyDescent="0.3">
      <c r="A73" s="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 x14ac:dyDescent="0.3">
      <c r="A74" s="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x14ac:dyDescent="0.3">
      <c r="A75" s="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 x14ac:dyDescent="0.3">
      <c r="A76" s="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x14ac:dyDescent="0.3">
      <c r="A77" s="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 x14ac:dyDescent="0.3">
      <c r="A78" s="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x14ac:dyDescent="0.3">
      <c r="A79" s="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spans="1:19" x14ac:dyDescent="0.3">
      <c r="A80" s="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x14ac:dyDescent="0.3">
      <c r="A81" s="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 x14ac:dyDescent="0.3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x14ac:dyDescent="0.3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spans="1:19" x14ac:dyDescent="0.3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x14ac:dyDescent="0.3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spans="1:19" x14ac:dyDescent="0.3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x14ac:dyDescent="0.3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spans="1:19" x14ac:dyDescent="0.3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x14ac:dyDescent="0.3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x14ac:dyDescent="0.3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x14ac:dyDescent="0.3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 x14ac:dyDescent="0.3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x14ac:dyDescent="0.3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 x14ac:dyDescent="0.3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x14ac:dyDescent="0.3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 x14ac:dyDescent="0.3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x14ac:dyDescent="0.3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 x14ac:dyDescent="0.3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x14ac:dyDescent="0.3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 x14ac:dyDescent="0.3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 x14ac:dyDescent="0.3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 x14ac:dyDescent="0.3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 x14ac:dyDescent="0.3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 x14ac:dyDescent="0.3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 x14ac:dyDescent="0.3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 x14ac:dyDescent="0.3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 x14ac:dyDescent="0.3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 x14ac:dyDescent="0.3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 x14ac:dyDescent="0.3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 x14ac:dyDescent="0.3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 x14ac:dyDescent="0.3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 x14ac:dyDescent="0.3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 x14ac:dyDescent="0.3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 x14ac:dyDescent="0.3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 x14ac:dyDescent="0.3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 x14ac:dyDescent="0.3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 x14ac:dyDescent="0.3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 x14ac:dyDescent="0.3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 x14ac:dyDescent="0.3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 x14ac:dyDescent="0.3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 x14ac:dyDescent="0.3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 x14ac:dyDescent="0.3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 x14ac:dyDescent="0.3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 x14ac:dyDescent="0.3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x14ac:dyDescent="0.3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 x14ac:dyDescent="0.3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 x14ac:dyDescent="0.3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 x14ac:dyDescent="0.3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 x14ac:dyDescent="0.3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 x14ac:dyDescent="0.3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 x14ac:dyDescent="0.3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 x14ac:dyDescent="0.3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 x14ac:dyDescent="0.3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 x14ac:dyDescent="0.3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 x14ac:dyDescent="0.3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x14ac:dyDescent="0.3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Luciano Furtado</cp:lastModifiedBy>
  <dcterms:created xsi:type="dcterms:W3CDTF">2024-12-19T13:13:10Z</dcterms:created>
  <dcterms:modified xsi:type="dcterms:W3CDTF">2026-01-22T02:17:54Z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